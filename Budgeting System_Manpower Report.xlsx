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E38603EF-68E4-4055-B3B1-B291AB23AF82}" xr6:coauthVersionLast="47" xr6:coauthVersionMax="47" xr10:uidLastSave="{00000000-0000-0000-0000-000000000000}"/>
  <bookViews>
    <workbookView xWindow="-110" yWindow="-110" windowWidth="19420" windowHeight="10300" firstSheet="1" activeTab="2" xr2:uid="{09E9E6D6-0F48-4124-9B86-4777CBE4DCA7}"/>
  </bookViews>
  <sheets>
    <sheet name="Excel Report2" sheetId="5" state="hidden" r:id="rId1"/>
    <sheet name="Manpower Budget Report" sheetId="4" r:id="rId2"/>
    <sheet name="Manpower Budget Detailed Report" sheetId="6" r:id="rId3"/>
    <sheet name="Excel Report" sheetId="1" state="hidden" r:id="rId4"/>
  </sheets>
  <definedNames>
    <definedName name="_xlnm._FilterDatabase" localSheetId="3" hidden="1">'Excel Report'!$A$3:$BU$25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4" l="1"/>
  <c r="C10" i="4"/>
  <c r="B29" i="4"/>
  <c r="C29" i="4"/>
  <c r="H29" i="6"/>
  <c r="I29" i="6" s="1"/>
  <c r="G29" i="6"/>
  <c r="F29" i="6"/>
  <c r="E29" i="6"/>
  <c r="D29" i="6"/>
  <c r="C29" i="6"/>
  <c r="B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F10" i="6"/>
  <c r="C10" i="6"/>
  <c r="B10" i="6"/>
  <c r="D9" i="6"/>
  <c r="G9" i="6" s="1"/>
  <c r="H9" i="6" s="1"/>
  <c r="I9" i="6" s="1"/>
  <c r="D8" i="6"/>
  <c r="G8" i="6" s="1"/>
  <c r="H8" i="6" s="1"/>
  <c r="I8" i="6" s="1"/>
  <c r="D7" i="6"/>
  <c r="G7" i="6" s="1"/>
  <c r="H7" i="6" s="1"/>
  <c r="I7" i="6" s="1"/>
  <c r="E6" i="6"/>
  <c r="D6" i="6"/>
  <c r="G6" i="6" s="1"/>
  <c r="H6" i="6" s="1"/>
  <c r="I6" i="6" s="1"/>
  <c r="D5" i="6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H29" i="4"/>
  <c r="G29" i="4"/>
  <c r="F29" i="4"/>
  <c r="E29" i="4"/>
  <c r="D29" i="4"/>
  <c r="F10" i="4"/>
  <c r="C30" i="5"/>
  <c r="B30" i="5"/>
  <c r="D9" i="4"/>
  <c r="G9" i="4" s="1"/>
  <c r="H9" i="4" s="1"/>
  <c r="I9" i="4" s="1"/>
  <c r="D8" i="4"/>
  <c r="G8" i="4" s="1"/>
  <c r="H8" i="4" s="1"/>
  <c r="I8" i="4" s="1"/>
  <c r="D7" i="4"/>
  <c r="G7" i="4" s="1"/>
  <c r="H7" i="4" s="1"/>
  <c r="I7" i="4" s="1"/>
  <c r="D6" i="4"/>
  <c r="D5" i="4"/>
  <c r="D10" i="4" s="1"/>
  <c r="D9" i="5"/>
  <c r="G9" i="5" s="1"/>
  <c r="D8" i="5"/>
  <c r="G8" i="5" s="1"/>
  <c r="D7" i="5"/>
  <c r="G7" i="5" s="1"/>
  <c r="D6" i="5"/>
  <c r="D5" i="5"/>
  <c r="BC24" i="1"/>
  <c r="BB24" i="1"/>
  <c r="AZ24" i="1"/>
  <c r="BC23" i="1"/>
  <c r="BB23" i="1"/>
  <c r="AZ23" i="1"/>
  <c r="BC22" i="1"/>
  <c r="BB22" i="1"/>
  <c r="BA22" i="1"/>
  <c r="AZ22" i="1"/>
  <c r="AY22" i="1"/>
  <c r="BC21" i="1"/>
  <c r="BB21" i="1"/>
  <c r="BA21" i="1"/>
  <c r="AZ21" i="1"/>
  <c r="AY21" i="1"/>
  <c r="BC20" i="1"/>
  <c r="BB20" i="1"/>
  <c r="AZ20" i="1"/>
  <c r="AY20" i="1"/>
  <c r="BC19" i="1"/>
  <c r="BB19" i="1"/>
  <c r="BA19" i="1"/>
  <c r="AZ19" i="1"/>
  <c r="AY19" i="1"/>
  <c r="BC18" i="1"/>
  <c r="BB18" i="1"/>
  <c r="AZ18" i="1"/>
  <c r="BC17" i="1"/>
  <c r="BB17" i="1"/>
  <c r="AZ17" i="1"/>
  <c r="BC16" i="1"/>
  <c r="BB16" i="1"/>
  <c r="BA16" i="1"/>
  <c r="AZ16" i="1"/>
  <c r="AY16" i="1"/>
  <c r="BC15" i="1"/>
  <c r="BB15" i="1"/>
  <c r="AZ15" i="1"/>
  <c r="BC9" i="1"/>
  <c r="BB9" i="1"/>
  <c r="BC8" i="1"/>
  <c r="BB8" i="1"/>
  <c r="BC7" i="1"/>
  <c r="BB7" i="1"/>
  <c r="BC13" i="1"/>
  <c r="BC12" i="1"/>
  <c r="BB12" i="1"/>
  <c r="BA12" i="1"/>
  <c r="AZ12" i="1"/>
  <c r="AY12" i="1"/>
  <c r="BC11" i="1"/>
  <c r="BB11" i="1"/>
  <c r="BA11" i="1"/>
  <c r="AZ11" i="1"/>
  <c r="AY11" i="1"/>
  <c r="BC6" i="1"/>
  <c r="W24" i="1"/>
  <c r="V24" i="1"/>
  <c r="T24" i="1"/>
  <c r="W23" i="1"/>
  <c r="V23" i="1"/>
  <c r="T23" i="1"/>
  <c r="W22" i="1"/>
  <c r="V22" i="1"/>
  <c r="U22" i="1"/>
  <c r="T22" i="1"/>
  <c r="S22" i="1"/>
  <c r="R22" i="1"/>
  <c r="AX22" i="1" s="1"/>
  <c r="BF22" i="1" s="1"/>
  <c r="W21" i="1"/>
  <c r="V21" i="1"/>
  <c r="U21" i="1"/>
  <c r="T21" i="1"/>
  <c r="S21" i="1"/>
  <c r="R21" i="1"/>
  <c r="AX21" i="1" s="1"/>
  <c r="BF21" i="1" s="1"/>
  <c r="W20" i="1"/>
  <c r="V20" i="1"/>
  <c r="U20" i="1"/>
  <c r="T20" i="1"/>
  <c r="S20" i="1"/>
  <c r="R20" i="1"/>
  <c r="AX20" i="1" s="1"/>
  <c r="BF20" i="1" s="1"/>
  <c r="W19" i="1"/>
  <c r="V19" i="1"/>
  <c r="U19" i="1"/>
  <c r="T19" i="1"/>
  <c r="S19" i="1"/>
  <c r="R19" i="1"/>
  <c r="AX19" i="1" s="1"/>
  <c r="BF19" i="1" s="1"/>
  <c r="W18" i="1"/>
  <c r="V18" i="1"/>
  <c r="T18" i="1"/>
  <c r="W17" i="1"/>
  <c r="V17" i="1"/>
  <c r="T17" i="1"/>
  <c r="W16" i="1"/>
  <c r="V16" i="1"/>
  <c r="U16" i="1"/>
  <c r="T16" i="1"/>
  <c r="S16" i="1"/>
  <c r="R16" i="1"/>
  <c r="AX16" i="1" s="1"/>
  <c r="BF16" i="1" s="1"/>
  <c r="W15" i="1"/>
  <c r="V15" i="1"/>
  <c r="T15" i="1"/>
  <c r="W9" i="1"/>
  <c r="V9" i="1"/>
  <c r="W8" i="1"/>
  <c r="V8" i="1"/>
  <c r="W7" i="1"/>
  <c r="V7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AX12" i="1" s="1"/>
  <c r="BF12" i="1" s="1"/>
  <c r="W11" i="1"/>
  <c r="V11" i="1"/>
  <c r="U11" i="1"/>
  <c r="T11" i="1"/>
  <c r="S11" i="1"/>
  <c r="R11" i="1"/>
  <c r="AX11" i="1" s="1"/>
  <c r="BF11" i="1" s="1"/>
  <c r="W6" i="1"/>
  <c r="V6" i="1"/>
  <c r="U6" i="1"/>
  <c r="T6" i="1"/>
  <c r="S6" i="1"/>
  <c r="R6" i="1"/>
  <c r="W5" i="1"/>
  <c r="V5" i="1"/>
  <c r="T5" i="1"/>
  <c r="S5" i="1"/>
  <c r="R5" i="1"/>
  <c r="W25" i="1"/>
  <c r="V25" i="1"/>
  <c r="X22" i="1"/>
  <c r="X21" i="1"/>
  <c r="X20" i="1"/>
  <c r="X19" i="1"/>
  <c r="X16" i="1"/>
  <c r="X14" i="1"/>
  <c r="X13" i="1"/>
  <c r="X12" i="1"/>
  <c r="X11" i="1"/>
  <c r="X6" i="1"/>
  <c r="O25" i="1"/>
  <c r="N25" i="1"/>
  <c r="M24" i="1"/>
  <c r="K24" i="1"/>
  <c r="J24" i="1"/>
  <c r="M23" i="1"/>
  <c r="K23" i="1"/>
  <c r="J23" i="1"/>
  <c r="P22" i="1"/>
  <c r="P21" i="1"/>
  <c r="P20" i="1"/>
  <c r="P19" i="1"/>
  <c r="M18" i="1"/>
  <c r="K18" i="1"/>
  <c r="J18" i="1"/>
  <c r="M17" i="1"/>
  <c r="K17" i="1"/>
  <c r="J17" i="1"/>
  <c r="P17" i="1" s="1"/>
  <c r="P16" i="1"/>
  <c r="M15" i="1"/>
  <c r="K15" i="1"/>
  <c r="J15" i="1"/>
  <c r="P15" i="1" s="1"/>
  <c r="M9" i="1"/>
  <c r="L9" i="1"/>
  <c r="K9" i="1"/>
  <c r="J9" i="1"/>
  <c r="M8" i="1"/>
  <c r="L8" i="1"/>
  <c r="K8" i="1"/>
  <c r="J8" i="1"/>
  <c r="P8" i="1" s="1"/>
  <c r="M7" i="1"/>
  <c r="L7" i="1"/>
  <c r="L25" i="1" s="1"/>
  <c r="K7" i="1"/>
  <c r="K25" i="1" s="1"/>
  <c r="J7" i="1"/>
  <c r="P14" i="1"/>
  <c r="P13" i="1"/>
  <c r="P12" i="1"/>
  <c r="P11" i="1"/>
  <c r="P6" i="1"/>
  <c r="M5" i="1"/>
  <c r="Z5" i="1"/>
  <c r="AA5" i="1"/>
  <c r="AB5" i="1"/>
  <c r="AD5" i="1"/>
  <c r="Z6" i="1"/>
  <c r="AA6" i="1"/>
  <c r="AY6" i="1" s="1"/>
  <c r="AB6" i="1"/>
  <c r="AZ6" i="1" s="1"/>
  <c r="AC6" i="1"/>
  <c r="BA6" i="1" s="1"/>
  <c r="AD6" i="1"/>
  <c r="BB6" i="1" s="1"/>
  <c r="BJ6" i="1" s="1"/>
  <c r="BR6" i="1" s="1"/>
  <c r="Z13" i="1"/>
  <c r="AA13" i="1"/>
  <c r="AY13" i="1" s="1"/>
  <c r="BG13" i="1" s="1"/>
  <c r="BO13" i="1" s="1"/>
  <c r="AB13" i="1"/>
  <c r="AZ13" i="1" s="1"/>
  <c r="BH13" i="1" s="1"/>
  <c r="BP13" i="1" s="1"/>
  <c r="AC13" i="1"/>
  <c r="BA13" i="1" s="1"/>
  <c r="BI13" i="1" s="1"/>
  <c r="BQ13" i="1" s="1"/>
  <c r="AD13" i="1"/>
  <c r="Z14" i="1"/>
  <c r="AA14" i="1"/>
  <c r="AY14" i="1" s="1"/>
  <c r="BG14" i="1" s="1"/>
  <c r="BO14" i="1" s="1"/>
  <c r="AB14" i="1"/>
  <c r="AZ14" i="1" s="1"/>
  <c r="BH14" i="1" s="1"/>
  <c r="BP14" i="1" s="1"/>
  <c r="AC14" i="1"/>
  <c r="BA14" i="1" s="1"/>
  <c r="BI14" i="1" s="1"/>
  <c r="BQ14" i="1" s="1"/>
  <c r="AD14" i="1"/>
  <c r="BB14" i="1" s="1"/>
  <c r="BJ14" i="1" s="1"/>
  <c r="BR14" i="1" s="1"/>
  <c r="Z25" i="1"/>
  <c r="AA25" i="1"/>
  <c r="AB25" i="1"/>
  <c r="AN24" i="1"/>
  <c r="AN23" i="1"/>
  <c r="AN22" i="1"/>
  <c r="AN21" i="1"/>
  <c r="AK20" i="1"/>
  <c r="AN19" i="1"/>
  <c r="AN18" i="1"/>
  <c r="AN17" i="1"/>
  <c r="AN16" i="1"/>
  <c r="AN15" i="1"/>
  <c r="AN8" i="1"/>
  <c r="AN7" i="1"/>
  <c r="AN12" i="1"/>
  <c r="AU25" i="1"/>
  <c r="AT25" i="1"/>
  <c r="AS25" i="1"/>
  <c r="AR25" i="1"/>
  <c r="AQ25" i="1"/>
  <c r="AP25" i="1"/>
  <c r="G25" i="1"/>
  <c r="F25" i="1"/>
  <c r="AV24" i="1"/>
  <c r="E24" i="1"/>
  <c r="C24" i="1"/>
  <c r="B24" i="1"/>
  <c r="R24" i="1" s="1"/>
  <c r="AV23" i="1"/>
  <c r="E23" i="1"/>
  <c r="C23" i="1"/>
  <c r="B23" i="1"/>
  <c r="R23" i="1" s="1"/>
  <c r="AV22" i="1"/>
  <c r="AF22" i="1"/>
  <c r="H22" i="1"/>
  <c r="AV21" i="1"/>
  <c r="AF21" i="1"/>
  <c r="H21" i="1"/>
  <c r="AV20" i="1"/>
  <c r="H20" i="1"/>
  <c r="AV19" i="1"/>
  <c r="AF19" i="1"/>
  <c r="H19" i="1"/>
  <c r="AV18" i="1"/>
  <c r="E18" i="1"/>
  <c r="C18" i="1"/>
  <c r="B18" i="1"/>
  <c r="AV17" i="1"/>
  <c r="E17" i="1"/>
  <c r="C17" i="1"/>
  <c r="B17" i="1"/>
  <c r="AV16" i="1"/>
  <c r="AF16" i="1"/>
  <c r="H16" i="1"/>
  <c r="AV15" i="1"/>
  <c r="E15" i="1"/>
  <c r="C15" i="1"/>
  <c r="B15" i="1"/>
  <c r="AV9" i="1"/>
  <c r="E9" i="1"/>
  <c r="D9" i="1"/>
  <c r="C9" i="1"/>
  <c r="B9" i="1"/>
  <c r="AV8" i="1"/>
  <c r="E8" i="1"/>
  <c r="D8" i="1"/>
  <c r="C8" i="1"/>
  <c r="B8" i="1"/>
  <c r="AV7" i="1"/>
  <c r="E7" i="1"/>
  <c r="D7" i="1"/>
  <c r="C7" i="1"/>
  <c r="B7" i="1"/>
  <c r="AV14" i="1"/>
  <c r="AE14" i="1"/>
  <c r="BC14" i="1" s="1"/>
  <c r="BK14" i="1" s="1"/>
  <c r="BS14" i="1" s="1"/>
  <c r="H14" i="1"/>
  <c r="AV13" i="1"/>
  <c r="H13" i="1"/>
  <c r="AV12" i="1"/>
  <c r="AF12" i="1"/>
  <c r="H12" i="1"/>
  <c r="AV11" i="1"/>
  <c r="AN11" i="1"/>
  <c r="H11" i="1"/>
  <c r="AV6" i="1"/>
  <c r="H6" i="1"/>
  <c r="AV5" i="1"/>
  <c r="AE5" i="1"/>
  <c r="AM25" i="1" s="1"/>
  <c r="E5" i="1"/>
  <c r="I29" i="4" l="1"/>
  <c r="D10" i="6"/>
  <c r="E5" i="6"/>
  <c r="E6" i="4"/>
  <c r="G6" i="4" s="1"/>
  <c r="H6" i="4" s="1"/>
  <c r="I6" i="4" s="1"/>
  <c r="E5" i="4"/>
  <c r="E6" i="5"/>
  <c r="G6" i="5" s="1"/>
  <c r="E5" i="5"/>
  <c r="P23" i="1"/>
  <c r="P24" i="1"/>
  <c r="P9" i="1"/>
  <c r="BB13" i="1"/>
  <c r="BJ13" i="1" s="1"/>
  <c r="AD25" i="1"/>
  <c r="BG6" i="1"/>
  <c r="BH6" i="1"/>
  <c r="BP6" i="1" s="1"/>
  <c r="BI6" i="1"/>
  <c r="BQ6" i="1" s="1"/>
  <c r="R18" i="1"/>
  <c r="R15" i="1"/>
  <c r="R9" i="1"/>
  <c r="AX9" i="1" s="1"/>
  <c r="BF9" i="1" s="1"/>
  <c r="R8" i="1"/>
  <c r="AX8" i="1" s="1"/>
  <c r="BF8" i="1" s="1"/>
  <c r="R7" i="1"/>
  <c r="R17" i="1"/>
  <c r="AX17" i="1" s="1"/>
  <c r="BF17" i="1" s="1"/>
  <c r="AV25" i="1"/>
  <c r="BK24" i="1"/>
  <c r="BS24" i="1" s="1"/>
  <c r="BJ24" i="1"/>
  <c r="BR24" i="1" s="1"/>
  <c r="BH24" i="1"/>
  <c r="BP24" i="1" s="1"/>
  <c r="BK23" i="1"/>
  <c r="BS23" i="1" s="1"/>
  <c r="BJ23" i="1"/>
  <c r="BR23" i="1" s="1"/>
  <c r="BH23" i="1"/>
  <c r="BP23" i="1" s="1"/>
  <c r="BK22" i="1"/>
  <c r="BS22" i="1" s="1"/>
  <c r="BJ22" i="1"/>
  <c r="BR22" i="1" s="1"/>
  <c r="BI22" i="1"/>
  <c r="BQ22" i="1" s="1"/>
  <c r="BH22" i="1"/>
  <c r="BP22" i="1" s="1"/>
  <c r="BG22" i="1"/>
  <c r="BK21" i="1"/>
  <c r="BS21" i="1" s="1"/>
  <c r="BJ21" i="1"/>
  <c r="BR21" i="1" s="1"/>
  <c r="BI21" i="1"/>
  <c r="BQ21" i="1" s="1"/>
  <c r="BH21" i="1"/>
  <c r="BP21" i="1" s="1"/>
  <c r="BG21" i="1"/>
  <c r="BK20" i="1"/>
  <c r="BS20" i="1" s="1"/>
  <c r="BJ20" i="1"/>
  <c r="BR20" i="1" s="1"/>
  <c r="BH20" i="1"/>
  <c r="BP20" i="1" s="1"/>
  <c r="BG20" i="1"/>
  <c r="BO20" i="1" s="1"/>
  <c r="BK19" i="1"/>
  <c r="BS19" i="1" s="1"/>
  <c r="BJ19" i="1"/>
  <c r="BR19" i="1" s="1"/>
  <c r="BI19" i="1"/>
  <c r="BQ19" i="1" s="1"/>
  <c r="BH19" i="1"/>
  <c r="BP19" i="1" s="1"/>
  <c r="BG19" i="1"/>
  <c r="BK18" i="1"/>
  <c r="BS18" i="1" s="1"/>
  <c r="BJ18" i="1"/>
  <c r="BR18" i="1" s="1"/>
  <c r="BH18" i="1"/>
  <c r="BP18" i="1" s="1"/>
  <c r="BK17" i="1"/>
  <c r="BS17" i="1" s="1"/>
  <c r="BJ17" i="1"/>
  <c r="BR17" i="1" s="1"/>
  <c r="BH17" i="1"/>
  <c r="BP17" i="1" s="1"/>
  <c r="BK16" i="1"/>
  <c r="BS16" i="1" s="1"/>
  <c r="BJ16" i="1"/>
  <c r="BR16" i="1" s="1"/>
  <c r="BI16" i="1"/>
  <c r="BQ16" i="1" s="1"/>
  <c r="BH16" i="1"/>
  <c r="BP16" i="1" s="1"/>
  <c r="BG16" i="1"/>
  <c r="BK15" i="1"/>
  <c r="BS15" i="1" s="1"/>
  <c r="BJ15" i="1"/>
  <c r="BR15" i="1" s="1"/>
  <c r="BH15" i="1"/>
  <c r="BP15" i="1" s="1"/>
  <c r="BK9" i="1"/>
  <c r="BS9" i="1" s="1"/>
  <c r="BJ9" i="1"/>
  <c r="BR9" i="1" s="1"/>
  <c r="BK8" i="1"/>
  <c r="BS8" i="1" s="1"/>
  <c r="BJ8" i="1"/>
  <c r="BR8" i="1" s="1"/>
  <c r="BK7" i="1"/>
  <c r="BS7" i="1" s="1"/>
  <c r="BJ7" i="1"/>
  <c r="BR7" i="1" s="1"/>
  <c r="BK13" i="1"/>
  <c r="BS13" i="1" s="1"/>
  <c r="BK12" i="1"/>
  <c r="BS12" i="1" s="1"/>
  <c r="BJ12" i="1"/>
  <c r="BR12" i="1" s="1"/>
  <c r="BI12" i="1"/>
  <c r="BQ12" i="1" s="1"/>
  <c r="BH12" i="1"/>
  <c r="BP12" i="1" s="1"/>
  <c r="BG12" i="1"/>
  <c r="BO12" i="1" s="1"/>
  <c r="BK11" i="1"/>
  <c r="BS11" i="1" s="1"/>
  <c r="BJ11" i="1"/>
  <c r="BR11" i="1" s="1"/>
  <c r="BI11" i="1"/>
  <c r="BQ11" i="1" s="1"/>
  <c r="BH11" i="1"/>
  <c r="BP11" i="1" s="1"/>
  <c r="BG11" i="1"/>
  <c r="BO11" i="1" s="1"/>
  <c r="BK6" i="1"/>
  <c r="BS6" i="1" s="1"/>
  <c r="AX14" i="1"/>
  <c r="BF14" i="1" s="1"/>
  <c r="AX13" i="1"/>
  <c r="BF13" i="1" s="1"/>
  <c r="AX6" i="1"/>
  <c r="BF6" i="1" s="1"/>
  <c r="AX5" i="1"/>
  <c r="BF5" i="1" s="1"/>
  <c r="BN5" i="1" s="1"/>
  <c r="P18" i="1"/>
  <c r="BN22" i="1"/>
  <c r="BN21" i="1"/>
  <c r="BN20" i="1"/>
  <c r="BN19" i="1"/>
  <c r="BN16" i="1"/>
  <c r="BN14" i="1"/>
  <c r="BL14" i="1"/>
  <c r="BT14" i="1" s="1"/>
  <c r="BN13" i="1"/>
  <c r="BN12" i="1"/>
  <c r="BL12" i="1"/>
  <c r="BT12" i="1" s="1"/>
  <c r="BN11" i="1"/>
  <c r="BL11" i="1"/>
  <c r="BT11" i="1" s="1"/>
  <c r="BN6" i="1"/>
  <c r="AN20" i="1"/>
  <c r="BA20" i="1"/>
  <c r="BI20" i="1" s="1"/>
  <c r="BA24" i="1"/>
  <c r="U24" i="1"/>
  <c r="AY24" i="1"/>
  <c r="S24" i="1"/>
  <c r="X24" i="1" s="1"/>
  <c r="AX24" i="1"/>
  <c r="BF24" i="1" s="1"/>
  <c r="BA23" i="1"/>
  <c r="U23" i="1"/>
  <c r="AY23" i="1"/>
  <c r="S23" i="1"/>
  <c r="AX23" i="1"/>
  <c r="BF23" i="1" s="1"/>
  <c r="U18" i="1"/>
  <c r="BA18" i="1"/>
  <c r="BI18" i="1" s="1"/>
  <c r="BQ18" i="1" s="1"/>
  <c r="S18" i="1"/>
  <c r="AY18" i="1"/>
  <c r="BG18" i="1" s="1"/>
  <c r="BO18" i="1" s="1"/>
  <c r="U17" i="1"/>
  <c r="BA17" i="1"/>
  <c r="AY17" i="1"/>
  <c r="S17" i="1"/>
  <c r="U15" i="1"/>
  <c r="BA15" i="1"/>
  <c r="AY15" i="1"/>
  <c r="S15" i="1"/>
  <c r="BA9" i="1"/>
  <c r="U9" i="1"/>
  <c r="AZ9" i="1"/>
  <c r="T9" i="1"/>
  <c r="AY9" i="1"/>
  <c r="S9" i="1"/>
  <c r="BA8" i="1"/>
  <c r="U8" i="1"/>
  <c r="AZ8" i="1"/>
  <c r="T8" i="1"/>
  <c r="AY8" i="1"/>
  <c r="S8" i="1"/>
  <c r="U7" i="1"/>
  <c r="BA7" i="1"/>
  <c r="AZ7" i="1"/>
  <c r="T7" i="1"/>
  <c r="AY7" i="1"/>
  <c r="S7" i="1"/>
  <c r="AC5" i="1"/>
  <c r="AC25" i="1" s="1"/>
  <c r="U5" i="1"/>
  <c r="AN14" i="1"/>
  <c r="J25" i="1"/>
  <c r="P7" i="1"/>
  <c r="M25" i="1"/>
  <c r="P5" i="1"/>
  <c r="AN13" i="1"/>
  <c r="AF24" i="1"/>
  <c r="AF23" i="1"/>
  <c r="AF18" i="1"/>
  <c r="AF17" i="1"/>
  <c r="AF15" i="1"/>
  <c r="AF8" i="1"/>
  <c r="AN6" i="1"/>
  <c r="AJ25" i="1"/>
  <c r="AI25" i="1"/>
  <c r="H24" i="1"/>
  <c r="H23" i="1"/>
  <c r="BD22" i="1"/>
  <c r="BD21" i="1"/>
  <c r="AF20" i="1"/>
  <c r="BD19" i="1"/>
  <c r="H18" i="1"/>
  <c r="H17" i="1"/>
  <c r="BD16" i="1"/>
  <c r="H15" i="1"/>
  <c r="H9" i="1"/>
  <c r="H8" i="1"/>
  <c r="D25" i="1"/>
  <c r="C25" i="1"/>
  <c r="B25" i="1"/>
  <c r="H7" i="1"/>
  <c r="AF14" i="1"/>
  <c r="AF13" i="1"/>
  <c r="BD12" i="1"/>
  <c r="AF11" i="1"/>
  <c r="AF6" i="1"/>
  <c r="AE25" i="1"/>
  <c r="BC5" i="1"/>
  <c r="BK5" i="1" s="1"/>
  <c r="BS5" i="1" s="1"/>
  <c r="AZ5" i="1"/>
  <c r="BH5" i="1" s="1"/>
  <c r="BP5" i="1" s="1"/>
  <c r="AY5" i="1"/>
  <c r="BG5" i="1" s="1"/>
  <c r="BO5" i="1" s="1"/>
  <c r="E25" i="1"/>
  <c r="H5" i="1"/>
  <c r="E10" i="6" l="1"/>
  <c r="G5" i="6"/>
  <c r="G5" i="4"/>
  <c r="E10" i="4"/>
  <c r="G5" i="5"/>
  <c r="BR13" i="1"/>
  <c r="BL13" i="1"/>
  <c r="BT13" i="1" s="1"/>
  <c r="BI7" i="1"/>
  <c r="BQ7" i="1" s="1"/>
  <c r="BI15" i="1"/>
  <c r="BQ15" i="1" s="1"/>
  <c r="X23" i="1"/>
  <c r="BI17" i="1"/>
  <c r="BQ17" i="1" s="1"/>
  <c r="BO6" i="1"/>
  <c r="BL6" i="1"/>
  <c r="BT6" i="1" s="1"/>
  <c r="AX18" i="1"/>
  <c r="X18" i="1"/>
  <c r="AX15" i="1"/>
  <c r="X15" i="1"/>
  <c r="AX7" i="1"/>
  <c r="R25" i="1"/>
  <c r="X7" i="1"/>
  <c r="X17" i="1"/>
  <c r="BO22" i="1"/>
  <c r="BL22" i="1"/>
  <c r="BT22" i="1" s="1"/>
  <c r="BO21" i="1"/>
  <c r="BL21" i="1"/>
  <c r="BT21" i="1" s="1"/>
  <c r="BO19" i="1"/>
  <c r="BL19" i="1"/>
  <c r="BT19" i="1" s="1"/>
  <c r="BO16" i="1"/>
  <c r="BL16" i="1"/>
  <c r="BT16" i="1" s="1"/>
  <c r="X8" i="1"/>
  <c r="T25" i="1"/>
  <c r="S25" i="1"/>
  <c r="P25" i="1"/>
  <c r="BI9" i="1"/>
  <c r="BQ9" i="1" s="1"/>
  <c r="X9" i="1"/>
  <c r="BG9" i="1"/>
  <c r="BO9" i="1" s="1"/>
  <c r="BH8" i="1"/>
  <c r="BP8" i="1" s="1"/>
  <c r="BH7" i="1"/>
  <c r="BP7" i="1" s="1"/>
  <c r="U25" i="1"/>
  <c r="X5" i="1"/>
  <c r="BN24" i="1"/>
  <c r="BN23" i="1"/>
  <c r="BN17" i="1"/>
  <c r="BN9" i="1"/>
  <c r="BN8" i="1"/>
  <c r="BI24" i="1"/>
  <c r="BQ24" i="1" s="1"/>
  <c r="BG24" i="1"/>
  <c r="BI23" i="1"/>
  <c r="BQ23" i="1" s="1"/>
  <c r="BG23" i="1"/>
  <c r="BG15" i="1"/>
  <c r="BG17" i="1"/>
  <c r="BH9" i="1"/>
  <c r="BI8" i="1"/>
  <c r="BQ8" i="1" s="1"/>
  <c r="BG8" i="1"/>
  <c r="BG7" i="1"/>
  <c r="BQ20" i="1"/>
  <c r="BL20" i="1"/>
  <c r="BT20" i="1" s="1"/>
  <c r="AF7" i="1"/>
  <c r="AN5" i="1"/>
  <c r="AK25" i="1"/>
  <c r="AH25" i="1"/>
  <c r="AF5" i="1"/>
  <c r="BA5" i="1"/>
  <c r="BI5" i="1" s="1"/>
  <c r="BQ5" i="1" s="1"/>
  <c r="BD24" i="1"/>
  <c r="BD23" i="1"/>
  <c r="BD17" i="1"/>
  <c r="BD8" i="1"/>
  <c r="BD14" i="1"/>
  <c r="BD13" i="1"/>
  <c r="BD6" i="1"/>
  <c r="BC25" i="1"/>
  <c r="H25" i="1"/>
  <c r="BD20" i="1"/>
  <c r="BD11" i="1"/>
  <c r="G10" i="6" l="1"/>
  <c r="H5" i="6"/>
  <c r="H5" i="4"/>
  <c r="I5" i="4" s="1"/>
  <c r="G10" i="4"/>
  <c r="BF7" i="1"/>
  <c r="BD7" i="1"/>
  <c r="AX25" i="1"/>
  <c r="BF18" i="1"/>
  <c r="BD18" i="1"/>
  <c r="BF15" i="1"/>
  <c r="BD15" i="1"/>
  <c r="X25" i="1"/>
  <c r="BO7" i="1"/>
  <c r="BO24" i="1"/>
  <c r="BL24" i="1"/>
  <c r="BT24" i="1" s="1"/>
  <c r="BO23" i="1"/>
  <c r="BL23" i="1"/>
  <c r="BT23" i="1" s="1"/>
  <c r="BO15" i="1"/>
  <c r="BO17" i="1"/>
  <c r="BL17" i="1"/>
  <c r="BT17" i="1" s="1"/>
  <c r="BP9" i="1"/>
  <c r="BL9" i="1"/>
  <c r="BT9" i="1" s="1"/>
  <c r="BO8" i="1"/>
  <c r="BL8" i="1"/>
  <c r="BT8" i="1" s="1"/>
  <c r="BB5" i="1"/>
  <c r="BJ5" i="1" s="1"/>
  <c r="BR5" i="1" s="1"/>
  <c r="AL25" i="1"/>
  <c r="AZ25" i="1"/>
  <c r="AY25" i="1"/>
  <c r="BK25" i="1"/>
  <c r="BS25" i="1" s="1"/>
  <c r="AF9" i="1"/>
  <c r="AF25" i="1" s="1"/>
  <c r="I5" i="6" l="1"/>
  <c r="H10" i="6"/>
  <c r="I10" i="6" s="1"/>
  <c r="H10" i="4"/>
  <c r="I10" i="4" s="1"/>
  <c r="BF25" i="1"/>
  <c r="BN25" i="1" s="1"/>
  <c r="BN7" i="1"/>
  <c r="BL7" i="1"/>
  <c r="BT7" i="1" s="1"/>
  <c r="BN15" i="1"/>
  <c r="BL15" i="1"/>
  <c r="BT15" i="1" s="1"/>
  <c r="BL18" i="1"/>
  <c r="BT18" i="1" s="1"/>
  <c r="BN18" i="1"/>
  <c r="BD5" i="1"/>
  <c r="BB25" i="1"/>
  <c r="AN9" i="1"/>
  <c r="AN25" i="1" s="1"/>
  <c r="BH25" i="1"/>
  <c r="BP25" i="1" s="1"/>
  <c r="BG25" i="1"/>
  <c r="BO25" i="1" s="1"/>
  <c r="BA25" i="1"/>
  <c r="BL5" i="1" l="1"/>
  <c r="BT5" i="1" s="1"/>
  <c r="BD9" i="1"/>
  <c r="BD25" i="1" s="1"/>
  <c r="BJ25" i="1"/>
  <c r="BR25" i="1" s="1"/>
  <c r="BI25" i="1"/>
  <c r="BQ25" i="1" s="1"/>
  <c r="BL25" i="1" l="1"/>
  <c r="BT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tc={C86BDF9B-DF8D-4216-AF93-4E65C9F38D87}</author>
    <author>tc={1F9A2F3F-C909-4692-BE9E-BAFDEB890AC7}</author>
    <author>tc={6BCD2411-94C0-4630-8938-88DD93AC7614}</author>
    <author>tc={BE19DB7D-F010-4FC7-A2D5-44768779C160}</author>
  </authors>
  <commentList>
    <comment ref="G25" authorId="0" shapeId="0" xr:uid="{C86BDF9B-DF8D-4216-AF93-4E65C9F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18 HC</t>
      </text>
    </comment>
    <comment ref="O25" authorId="1" shapeId="0" xr:uid="{1F9A2F3F-C909-4692-BE9E-BAFDEB890AC7}">
      <text>
        <t>[Threaded comment]
Your version of Excel allows you to read this threaded comment; however, any edits to it will get removed if the file is opened in a newer version of Excel. Learn more: https://go.microsoft.com/fwlink/?linkid=870924
Comment:
    18 HC</t>
      </text>
    </comment>
    <comment ref="W25" authorId="2" shapeId="0" xr:uid="{6BCD2411-94C0-4630-8938-88DD93AC7614}">
      <text>
        <t>[Threaded comment]
Your version of Excel allows you to read this threaded comment; however, any edits to it will get removed if the file is opened in a newer version of Excel. Learn more: https://go.microsoft.com/fwlink/?linkid=870924
Comment:
    18 HC</t>
      </text>
    </comment>
    <comment ref="AU25" authorId="3" shapeId="0" xr:uid="{BE19DB7D-F010-4FC7-A2D5-44768779C160}">
      <text>
        <t>[Threaded comment]
Your version of Excel allows you to read this threaded comment; however, any edits to it will get removed if the file is opened in a newer version of Excel. Learn more: https://go.microsoft.com/fwlink/?linkid=870924
Comment:
    5 HC</t>
      </text>
    </comment>
  </commentList>
</comments>
</file>

<file path=xl/sharedStrings.xml><?xml version="1.0" encoding="utf-8"?>
<sst xmlns="http://schemas.openxmlformats.org/spreadsheetml/2006/main" count="243" uniqueCount="54">
  <si>
    <t>OCC</t>
  </si>
  <si>
    <t>OCLP</t>
  </si>
  <si>
    <t>OCLP Project</t>
  </si>
  <si>
    <t>OLC</t>
  </si>
  <si>
    <t>OLC Project</t>
  </si>
  <si>
    <t>Outsourced</t>
  </si>
  <si>
    <t>Total 2026</t>
  </si>
  <si>
    <t>Guaranteed Bonus</t>
  </si>
  <si>
    <t>Leave Encashment - Excess of 90 days</t>
  </si>
  <si>
    <t>Leave Encashment - Separated Employees</t>
  </si>
  <si>
    <t>OT Pay</t>
  </si>
  <si>
    <t>OT Meal Reimbursement</t>
  </si>
  <si>
    <t>Government Contributions (ER) - SSS</t>
  </si>
  <si>
    <t>Government Contributions (ER) - Pag-Ibig</t>
  </si>
  <si>
    <t>Government Contributions (ER) - Philhealth</t>
  </si>
  <si>
    <t>Gas Allowance</t>
  </si>
  <si>
    <t>Medical Allowance</t>
  </si>
  <si>
    <t>Uniform Allowance</t>
  </si>
  <si>
    <t>Rice Subsidy</t>
  </si>
  <si>
    <t>OBT Meal</t>
  </si>
  <si>
    <t>OBT Gas</t>
  </si>
  <si>
    <t>Accident Insurance</t>
  </si>
  <si>
    <t>Life Insurance</t>
  </si>
  <si>
    <t>Medical Exam / Executive Check-up (incl. dependents)</t>
  </si>
  <si>
    <t>HMO (incl. dependents)</t>
  </si>
  <si>
    <t>Total</t>
  </si>
  <si>
    <t>Basic Pay</t>
  </si>
  <si>
    <t>YTD Actual</t>
  </si>
  <si>
    <t>Remaining Months Forecast</t>
  </si>
  <si>
    <t>Account</t>
  </si>
  <si>
    <t>Total Actual + Forecast</t>
  </si>
  <si>
    <t>Other Increase</t>
  </si>
  <si>
    <t>Additional Headcount Request</t>
  </si>
  <si>
    <t>Budget</t>
  </si>
  <si>
    <t>Budget vs Prior Year Actual + Forecast (Amount)</t>
  </si>
  <si>
    <t>Budget vs Prior Year Actual + Forecast (%)</t>
  </si>
  <si>
    <t>Merit Increase</t>
  </si>
  <si>
    <t>Salary</t>
  </si>
  <si>
    <t>Other Employee Benefits</t>
  </si>
  <si>
    <t>from SAP</t>
  </si>
  <si>
    <t>Employee Benefits</t>
  </si>
  <si>
    <t>auto compute from HR filled-out template (computed monthly salary x remaining months of the year)</t>
  </si>
  <si>
    <t>Actual + Forecast</t>
  </si>
  <si>
    <t>data pull from the Additional Headcount Request section</t>
  </si>
  <si>
    <t>(actual + forecast) x merit increase %</t>
  </si>
  <si>
    <t>sum of  columns D to F</t>
  </si>
  <si>
    <t>sum of columns B and C</t>
  </si>
  <si>
    <t>Proposed Budget</t>
  </si>
  <si>
    <t>Increase/ decrease (amount)</t>
  </si>
  <si>
    <t>Increase/ decrease (%)</t>
  </si>
  <si>
    <t xml:space="preserve">Total Salary </t>
  </si>
  <si>
    <t>Total Other Employee Benefits</t>
  </si>
  <si>
    <t>from Standard Request</t>
  </si>
  <si>
    <t>N/A - should be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</si>
</sst>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9" fontId="0" fillId="0" borderId="0" xfId="2" applyFont="1"/>
    <xf numFmtId="43" fontId="0" fillId="0" borderId="0" xfId="0" applyNumberFormat="1"/>
    <xf numFmtId="0" fontId="2" fillId="0" borderId="0" xfId="0" applyFont="1"/>
    <xf numFmtId="0" fontId="2" fillId="0" borderId="1" xfId="0" applyFont="1" applyBorder="1"/>
    <xf numFmtId="164" fontId="0" fillId="0" borderId="0" xfId="3" applyFont="1" applyAlignment="1"/>
    <xf numFmtId="164" fontId="0" fillId="0" borderId="0" xfId="3" applyFont="1" applyAlignment="1">
      <alignment horizontal="center" vertical="center" wrapText="1"/>
    </xf>
    <xf numFmtId="164" fontId="0" fillId="0" borderId="0" xfId="3" applyFont="1" applyFill="1" applyAlignment="1">
      <alignment horizontal="center" vertical="center" wrapText="1"/>
    </xf>
    <xf numFmtId="164" fontId="0" fillId="0" borderId="7" xfId="3" applyFont="1" applyBorder="1" applyAlignment="1"/>
    <xf numFmtId="164" fontId="0" fillId="0" borderId="7" xfId="3" applyFont="1" applyBorder="1" applyAlignment="1">
      <alignment horizontal="center" vertical="center" wrapText="1"/>
    </xf>
    <xf numFmtId="43" fontId="0" fillId="0" borderId="7" xfId="0" applyNumberFormat="1" applyBorder="1"/>
    <xf numFmtId="9" fontId="0" fillId="0" borderId="7" xfId="2" applyFont="1" applyBorder="1"/>
    <xf numFmtId="164" fontId="3" fillId="0" borderId="0" xfId="0" applyNumberFormat="1" applyFont="1" applyAlignment="1">
      <alignment horizontal="center" vertical="center" wrapText="1"/>
    </xf>
    <xf numFmtId="43" fontId="3" fillId="0" borderId="0" xfId="0" applyNumberFormat="1" applyFont="1"/>
    <xf numFmtId="164" fontId="0" fillId="0" borderId="7" xfId="3" applyFont="1" applyFill="1" applyBorder="1" applyAlignment="1">
      <alignment horizontal="center" vertical="center" wrapText="1"/>
    </xf>
    <xf numFmtId="164" fontId="3" fillId="0" borderId="0" xfId="3" applyFont="1" applyFill="1" applyAlignment="1">
      <alignment horizontal="center" vertical="center" wrapText="1"/>
    </xf>
    <xf numFmtId="9" fontId="0" fillId="0" borderId="0" xfId="2" applyFont="1" applyFill="1"/>
    <xf numFmtId="43" fontId="0" fillId="0" borderId="0" xfId="1" applyFont="1" applyFill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3" applyFont="1" applyFill="1" applyAlignment="1">
      <alignment vertical="center" wrapText="1"/>
    </xf>
    <xf numFmtId="164" fontId="3" fillId="0" borderId="0" xfId="3" applyFont="1" applyFill="1" applyAlignment="1"/>
    <xf numFmtId="0" fontId="3" fillId="0" borderId="0" xfId="0" applyFont="1"/>
    <xf numFmtId="164" fontId="3" fillId="0" borderId="0" xfId="3" applyFont="1" applyFill="1" applyAlignment="1">
      <alignment horizontal="center"/>
    </xf>
    <xf numFmtId="9" fontId="3" fillId="0" borderId="0" xfId="2" applyFont="1" applyFill="1"/>
    <xf numFmtId="164" fontId="3" fillId="0" borderId="7" xfId="3" applyFont="1" applyFill="1" applyBorder="1" applyAlignment="1"/>
    <xf numFmtId="164" fontId="3" fillId="0" borderId="7" xfId="3" applyFont="1" applyFill="1" applyBorder="1" applyAlignment="1">
      <alignment vertical="center" wrapText="1"/>
    </xf>
    <xf numFmtId="164" fontId="3" fillId="0" borderId="0" xfId="3" applyFont="1" applyFill="1" applyBorder="1" applyAlignment="1"/>
    <xf numFmtId="164" fontId="3" fillId="0" borderId="7" xfId="3" applyFont="1" applyFill="1" applyBorder="1" applyAlignment="1">
      <alignment horizontal="center" vertical="center" wrapText="1"/>
    </xf>
    <xf numFmtId="164" fontId="3" fillId="0" borderId="7" xfId="3" applyFont="1" applyFill="1" applyBorder="1" applyAlignment="1">
      <alignment horizontal="center"/>
    </xf>
    <xf numFmtId="43" fontId="3" fillId="0" borderId="7" xfId="0" applyNumberFormat="1" applyFont="1" applyBorder="1"/>
    <xf numFmtId="9" fontId="3" fillId="0" borderId="7" xfId="2" applyFont="1" applyFill="1" applyBorder="1"/>
    <xf numFmtId="0" fontId="3" fillId="0" borderId="0" xfId="0" applyFont="1" applyAlignment="1">
      <alignment horizontal="center" vertical="center" wrapText="1"/>
    </xf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0" fontId="2" fillId="0" borderId="8" xfId="0" applyFont="1" applyBorder="1" applyAlignment="1">
      <alignment horizontal="center"/>
    </xf>
    <xf numFmtId="0" fontId="0" fillId="0" borderId="0" xfId="3" applyNumberFormat="1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3" fillId="0" borderId="0" xfId="2" applyFont="1" applyAlignment="1">
      <alignment horizontal="right" vertical="center" wrapText="1"/>
    </xf>
    <xf numFmtId="43" fontId="0" fillId="0" borderId="0" xfId="1" applyFont="1"/>
    <xf numFmtId="43" fontId="0" fillId="0" borderId="7" xfId="1" applyFont="1" applyBorder="1"/>
    <xf numFmtId="164" fontId="2" fillId="0" borderId="0" xfId="3" applyFont="1" applyAlignment="1"/>
    <xf numFmtId="9" fontId="2" fillId="0" borderId="0" xfId="2" applyFont="1"/>
    <xf numFmtId="0" fontId="5" fillId="0" borderId="0" xfId="3" applyNumberFormat="1" applyFont="1" applyAlignment="1"/>
    <xf numFmtId="0" fontId="0" fillId="0" borderId="7" xfId="0" applyBorder="1"/>
    <xf numFmtId="164" fontId="5" fillId="0" borderId="0" xfId="3" applyFont="1" applyAlignment="1">
      <alignment horizontal="left" wrapText="1"/>
    </xf>
    <xf numFmtId="43" fontId="2" fillId="0" borderId="0" xfId="1" applyFont="1"/>
    <xf numFmtId="0" fontId="0" fillId="2" borderId="0" xfId="0" applyFill="1"/>
  </cellXfs>
  <cellStyles count="4">
    <cellStyle name="Comma" xfId="1" builtinId="3"/>
    <cellStyle name="Comma 2" xfId="3" xr:uid="{3E2BF865-FCD1-4878-A7BA-34DE08CE0DF1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ncess Vera P. Jumalon" id="{1665D72D-25BF-423C-963A-1B92BF1BAA5B}" userId="S::jumalonpvp@ortigas.com.ph::a1933eb8-e23b-489b-9c9b-eba5616942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5" dT="2025-11-13T02:11:14.76" personId="{1665D72D-25BF-423C-963A-1B92BF1BAA5B}" id="{C86BDF9B-DF8D-4216-AF93-4E65C9F38D87}">
    <text>18 HC</text>
  </threadedComment>
  <threadedComment ref="O25" dT="2025-11-13T02:11:14.76" personId="{1665D72D-25BF-423C-963A-1B92BF1BAA5B}" id="{1F9A2F3F-C909-4692-BE9E-BAFDEB890AC7}">
    <text>18 HC</text>
  </threadedComment>
  <threadedComment ref="W25" dT="2025-11-13T02:11:14.76" personId="{1665D72D-25BF-423C-963A-1B92BF1BAA5B}" id="{6BCD2411-94C0-4630-8938-88DD93AC7614}">
    <text>18 HC</text>
  </threadedComment>
  <threadedComment ref="AU25" dT="2025-11-13T02:17:22.87" personId="{1665D72D-25BF-423C-963A-1B92BF1BAA5B}" id="{BE19DB7D-F010-4FC7-A2D5-44768779C160}">
    <text>5 HC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B785-774A-4C4E-8B5E-CCB0E318476D}">
  <dimension ref="A1:I36"/>
  <sheetViews>
    <sheetView zoomScale="60" zoomScaleNormal="6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4.5" x14ac:dyDescent="0.35"/>
  <cols>
    <col min="1" max="1" width="44.90625" bestFit="1" customWidth="1"/>
    <col min="2" max="2" width="22.36328125" customWidth="1"/>
    <col min="3" max="3" width="24.1796875" bestFit="1" customWidth="1"/>
    <col min="4" max="4" width="19.7265625" bestFit="1" customWidth="1"/>
    <col min="5" max="5" width="17" bestFit="1" customWidth="1"/>
    <col min="6" max="6" width="25.453125" customWidth="1"/>
    <col min="7" max="7" width="23.6328125" customWidth="1"/>
    <col min="8" max="9" width="40.6328125" bestFit="1" customWidth="1"/>
  </cols>
  <sheetData>
    <row r="1" spans="1:9" x14ac:dyDescent="0.35">
      <c r="B1" s="2"/>
      <c r="C1" s="2"/>
      <c r="D1" s="2"/>
      <c r="E1" s="2"/>
      <c r="F1" s="2"/>
      <c r="H1" s="2"/>
    </row>
    <row r="2" spans="1:9" s="42" customFormat="1" ht="58" x14ac:dyDescent="0.35">
      <c r="B2" s="42" t="s">
        <v>39</v>
      </c>
      <c r="C2" s="42" t="s">
        <v>41</v>
      </c>
      <c r="D2" s="42" t="s">
        <v>46</v>
      </c>
      <c r="E2" s="42" t="s">
        <v>44</v>
      </c>
      <c r="F2" s="42" t="s">
        <v>43</v>
      </c>
      <c r="G2" s="42" t="s">
        <v>45</v>
      </c>
    </row>
    <row r="3" spans="1:9" s="44" customFormat="1" x14ac:dyDescent="0.35">
      <c r="A3" s="40" t="s">
        <v>29</v>
      </c>
      <c r="B3" s="40" t="s">
        <v>27</v>
      </c>
      <c r="C3" s="40" t="s">
        <v>28</v>
      </c>
      <c r="D3" s="40" t="s">
        <v>42</v>
      </c>
      <c r="E3" s="40" t="s">
        <v>36</v>
      </c>
      <c r="F3" s="40" t="s">
        <v>32</v>
      </c>
      <c r="G3" s="40" t="s">
        <v>33</v>
      </c>
      <c r="H3" s="40" t="s">
        <v>34</v>
      </c>
      <c r="I3" s="40" t="s">
        <v>35</v>
      </c>
    </row>
    <row r="4" spans="1:9" s="3" customFormat="1" x14ac:dyDescent="0.35">
      <c r="A4" s="39" t="s">
        <v>37</v>
      </c>
    </row>
    <row r="5" spans="1:9" x14ac:dyDescent="0.35">
      <c r="A5" t="s">
        <v>26</v>
      </c>
      <c r="B5" s="5">
        <v>258377600</v>
      </c>
      <c r="C5" s="5">
        <v>258377600</v>
      </c>
      <c r="D5" s="5">
        <f>B5+C5</f>
        <v>516755200</v>
      </c>
      <c r="E5" s="6">
        <f>D5*0.06</f>
        <v>31005312</v>
      </c>
      <c r="F5" s="6">
        <v>4183536</v>
      </c>
      <c r="G5" s="7">
        <f>D5+E5+F5</f>
        <v>551944048</v>
      </c>
      <c r="H5" s="2">
        <v>-197131808</v>
      </c>
      <c r="I5" s="1">
        <v>-0.3814800663834636</v>
      </c>
    </row>
    <row r="6" spans="1:9" x14ac:dyDescent="0.35">
      <c r="A6" t="s">
        <v>7</v>
      </c>
      <c r="B6" s="5">
        <v>55434396</v>
      </c>
      <c r="C6" s="5">
        <v>55434396</v>
      </c>
      <c r="D6" s="5">
        <f t="shared" ref="D6:D9" si="0">B6+C6</f>
        <v>110868792</v>
      </c>
      <c r="E6" s="6">
        <f t="shared" ref="E6" si="1">D6*0.06</f>
        <v>6652127.5199999996</v>
      </c>
      <c r="F6" s="6">
        <v>347256</v>
      </c>
      <c r="G6" s="7">
        <f t="shared" ref="G6:G9" si="2">D6+E6+F6</f>
        <v>117868175.52</v>
      </c>
      <c r="H6" s="2">
        <v>-44418880.240000002</v>
      </c>
      <c r="I6" s="1">
        <v>-0.40064367473220058</v>
      </c>
    </row>
    <row r="7" spans="1:9" x14ac:dyDescent="0.35">
      <c r="A7" t="s">
        <v>12</v>
      </c>
      <c r="B7" s="5">
        <v>13229374.523517389</v>
      </c>
      <c r="C7" s="5">
        <v>13229374.523517389</v>
      </c>
      <c r="D7" s="5">
        <f t="shared" si="0"/>
        <v>26458749.047034778</v>
      </c>
      <c r="E7" s="6">
        <v>0</v>
      </c>
      <c r="F7" s="6">
        <v>169440</v>
      </c>
      <c r="G7" s="7">
        <f t="shared" si="2"/>
        <v>26628189.047034778</v>
      </c>
      <c r="H7" s="2">
        <v>-9501319.6534497868</v>
      </c>
      <c r="I7" s="1">
        <v>-0.35909935260203074</v>
      </c>
    </row>
    <row r="8" spans="1:9" x14ac:dyDescent="0.35">
      <c r="A8" t="s">
        <v>13</v>
      </c>
      <c r="B8" s="5">
        <v>740654.86782760639</v>
      </c>
      <c r="C8" s="5">
        <v>740654.86782760639</v>
      </c>
      <c r="D8" s="5">
        <f t="shared" si="0"/>
        <v>1481309.7356552128</v>
      </c>
      <c r="E8" s="6">
        <v>0</v>
      </c>
      <c r="F8" s="6">
        <v>9600</v>
      </c>
      <c r="G8" s="7">
        <f t="shared" si="2"/>
        <v>1490909.7356552128</v>
      </c>
      <c r="H8" s="2">
        <v>-529433.62873029197</v>
      </c>
      <c r="I8" s="1">
        <v>-0.35740913327361135</v>
      </c>
    </row>
    <row r="9" spans="1:9" x14ac:dyDescent="0.35">
      <c r="A9" t="s">
        <v>14</v>
      </c>
      <c r="B9" s="5">
        <v>4526723.9400540851</v>
      </c>
      <c r="C9" s="5">
        <v>4526723.9400540851</v>
      </c>
      <c r="D9" s="5">
        <f t="shared" si="0"/>
        <v>9053447.8801081702</v>
      </c>
      <c r="E9" s="6">
        <v>0</v>
      </c>
      <c r="F9" s="6">
        <v>52088.400000000009</v>
      </c>
      <c r="G9" s="7">
        <f t="shared" si="2"/>
        <v>9105536.2801081706</v>
      </c>
      <c r="H9" s="2">
        <v>-3535239.7834986458</v>
      </c>
      <c r="I9" s="1">
        <v>-0.39048546259001682</v>
      </c>
    </row>
    <row r="10" spans="1:9" x14ac:dyDescent="0.35">
      <c r="B10" s="5"/>
      <c r="C10" s="5"/>
      <c r="D10" s="5"/>
      <c r="E10" s="6"/>
      <c r="F10" s="6"/>
      <c r="G10" s="6"/>
      <c r="H10" s="7"/>
      <c r="I10" s="2"/>
    </row>
    <row r="11" spans="1:9" x14ac:dyDescent="0.35">
      <c r="B11" s="5"/>
      <c r="C11" s="5"/>
      <c r="D11" s="5"/>
      <c r="E11" s="6"/>
      <c r="F11" s="6"/>
      <c r="G11" s="6"/>
      <c r="H11" s="7"/>
      <c r="I11" s="2"/>
    </row>
    <row r="12" spans="1:9" x14ac:dyDescent="0.35">
      <c r="B12" s="5"/>
      <c r="C12" s="5"/>
      <c r="D12" s="5"/>
      <c r="E12" s="6"/>
      <c r="F12" s="6"/>
      <c r="G12" s="6"/>
      <c r="H12" s="7"/>
      <c r="I12" s="2"/>
    </row>
    <row r="13" spans="1:9" ht="43.5" x14ac:dyDescent="0.35">
      <c r="B13" s="42" t="s">
        <v>43</v>
      </c>
      <c r="C13" s="41"/>
    </row>
    <row r="14" spans="1:9" s="43" customFormat="1" x14ac:dyDescent="0.35">
      <c r="A14" s="40" t="s">
        <v>29</v>
      </c>
      <c r="B14" s="40" t="s">
        <v>33</v>
      </c>
      <c r="C14" s="40" t="s">
        <v>34</v>
      </c>
      <c r="D14" s="40" t="s">
        <v>35</v>
      </c>
    </row>
    <row r="15" spans="1:9" x14ac:dyDescent="0.35">
      <c r="A15" s="39" t="s">
        <v>40</v>
      </c>
      <c r="B15" s="3"/>
      <c r="C15" s="3"/>
      <c r="D15" s="3"/>
    </row>
    <row r="16" spans="1:9" x14ac:dyDescent="0.35">
      <c r="A16" t="s">
        <v>8</v>
      </c>
      <c r="B16" s="7">
        <v>4519076.3499999996</v>
      </c>
      <c r="C16" s="2">
        <v>-4519076.3499999996</v>
      </c>
      <c r="D16" s="1">
        <v>-0.5</v>
      </c>
    </row>
    <row r="17" spans="1:4" x14ac:dyDescent="0.35">
      <c r="A17" t="s">
        <v>9</v>
      </c>
      <c r="B17" s="7">
        <v>640000</v>
      </c>
      <c r="C17" s="2">
        <v>-470000</v>
      </c>
      <c r="D17" s="1">
        <v>-0.42342342342342343</v>
      </c>
    </row>
    <row r="18" spans="1:4" x14ac:dyDescent="0.35">
      <c r="A18" t="s">
        <v>10</v>
      </c>
      <c r="B18" s="7">
        <v>2945523.2551199994</v>
      </c>
      <c r="C18" s="2">
        <v>-949725.2488800002</v>
      </c>
      <c r="D18" s="1">
        <v>-0.24381634391354878</v>
      </c>
    </row>
    <row r="19" spans="1:4" x14ac:dyDescent="0.35">
      <c r="A19" t="s">
        <v>11</v>
      </c>
      <c r="B19" s="7">
        <v>1547821.1280000003</v>
      </c>
      <c r="C19" s="2">
        <v>-382256.47199999995</v>
      </c>
      <c r="D19" s="1">
        <v>-0.19805238504400027</v>
      </c>
    </row>
    <row r="20" spans="1:4" x14ac:dyDescent="0.35">
      <c r="A20" t="s">
        <v>15</v>
      </c>
      <c r="B20" s="7">
        <v>9172059.8534795288</v>
      </c>
      <c r="C20" s="2">
        <v>-5923047.9911648277</v>
      </c>
      <c r="D20" s="1">
        <v>-0.39238195924955155</v>
      </c>
    </row>
    <row r="21" spans="1:4" x14ac:dyDescent="0.35">
      <c r="A21" t="s">
        <v>16</v>
      </c>
      <c r="B21" s="7">
        <v>2460000</v>
      </c>
      <c r="C21" s="2">
        <v>-1530000</v>
      </c>
      <c r="D21" s="1">
        <v>-0.38345864661654133</v>
      </c>
    </row>
    <row r="22" spans="1:4" x14ac:dyDescent="0.35">
      <c r="A22" t="s">
        <v>17</v>
      </c>
      <c r="B22" s="7">
        <v>1554954.4063751097</v>
      </c>
      <c r="C22" s="2">
        <v>-877566.58733987762</v>
      </c>
      <c r="D22" s="1">
        <v>-0.36076423990061562</v>
      </c>
    </row>
    <row r="23" spans="1:4" x14ac:dyDescent="0.35">
      <c r="A23" t="s">
        <v>18</v>
      </c>
      <c r="B23" s="7">
        <v>730843.37081332202</v>
      </c>
      <c r="C23" s="2">
        <v>-730843.37081332202</v>
      </c>
      <c r="D23" s="1">
        <v>-0.5</v>
      </c>
    </row>
    <row r="24" spans="1:4" x14ac:dyDescent="0.35">
      <c r="A24" t="s">
        <v>19</v>
      </c>
      <c r="B24" s="7">
        <v>110000</v>
      </c>
      <c r="C24" s="2">
        <v>110000</v>
      </c>
      <c r="D24" s="1">
        <v>0</v>
      </c>
    </row>
    <row r="25" spans="1:4" x14ac:dyDescent="0.35">
      <c r="A25" t="s">
        <v>20</v>
      </c>
      <c r="B25" s="7">
        <v>116000</v>
      </c>
      <c r="C25" s="2">
        <v>116000</v>
      </c>
      <c r="D25" s="1">
        <v>0</v>
      </c>
    </row>
    <row r="26" spans="1:4" x14ac:dyDescent="0.35">
      <c r="A26" t="s">
        <v>21</v>
      </c>
      <c r="B26" s="7">
        <v>301650</v>
      </c>
      <c r="C26" s="2">
        <v>-111390</v>
      </c>
      <c r="D26" s="1">
        <v>-0.26968332364904124</v>
      </c>
    </row>
    <row r="27" spans="1:4" x14ac:dyDescent="0.35">
      <c r="A27" t="s">
        <v>22</v>
      </c>
      <c r="B27" s="7">
        <v>5266497.5</v>
      </c>
      <c r="C27" s="2">
        <v>-2563742.5</v>
      </c>
      <c r="D27" s="1">
        <v>-0.32741557091481233</v>
      </c>
    </row>
    <row r="28" spans="1:4" x14ac:dyDescent="0.35">
      <c r="A28" t="s">
        <v>23</v>
      </c>
      <c r="B28" s="7">
        <v>4275798.4462048849</v>
      </c>
      <c r="C28" s="2">
        <v>-1231186.8623647271</v>
      </c>
      <c r="D28" s="1">
        <v>-0.22356821262058466</v>
      </c>
    </row>
    <row r="29" spans="1:4" x14ac:dyDescent="0.35">
      <c r="A29" t="s">
        <v>24</v>
      </c>
      <c r="B29" s="14">
        <v>21222109.392185524</v>
      </c>
      <c r="C29" s="10">
        <v>-5298982.5850147028</v>
      </c>
      <c r="D29" s="11">
        <v>-0.19980257937984439</v>
      </c>
    </row>
    <row r="30" spans="1:4" x14ac:dyDescent="0.35">
      <c r="A30" t="s">
        <v>25</v>
      </c>
      <c r="B30" s="12">
        <f>SUM(B16:B29)</f>
        <v>54862333.702178366</v>
      </c>
      <c r="C30" s="12">
        <f t="shared" ref="C30" si="3">SUM(C16:C29)</f>
        <v>-24361817.967577457</v>
      </c>
      <c r="D30" s="45">
        <v>-0.32741557091481233</v>
      </c>
    </row>
    <row r="35" spans="8:8" x14ac:dyDescent="0.35">
      <c r="H35" s="37"/>
    </row>
    <row r="36" spans="8:8" x14ac:dyDescent="0.35">
      <c r="H36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95FC-A571-4BBD-956B-9C9085559C95}">
  <dimension ref="A1:J29"/>
  <sheetViews>
    <sheetView zoomScale="60" zoomScaleNormal="60" workbookViewId="0">
      <pane xSplit="1" ySplit="3" topLeftCell="D8" activePane="bottomRight" state="frozen"/>
      <selection pane="topRight" activeCell="C1" sqref="C1"/>
      <selection pane="bottomLeft" activeCell="A4" sqref="A4"/>
      <selection pane="bottomRight" activeCell="G17" sqref="G17"/>
    </sheetView>
  </sheetViews>
  <sheetFormatPr defaultRowHeight="14.5" x14ac:dyDescent="0.35"/>
  <cols>
    <col min="1" max="1" width="44.90625" bestFit="1" customWidth="1"/>
    <col min="2" max="2" width="22.36328125" hidden="1" customWidth="1"/>
    <col min="3" max="3" width="25.26953125" hidden="1" customWidth="1"/>
    <col min="4" max="4" width="19.7265625" bestFit="1" customWidth="1"/>
    <col min="5" max="5" width="17" hidden="1" customWidth="1"/>
    <col min="6" max="6" width="25.453125" hidden="1" customWidth="1"/>
    <col min="7" max="7" width="23.6328125" customWidth="1"/>
    <col min="8" max="9" width="29.6328125" customWidth="1"/>
    <col min="10" max="10" width="14.36328125" bestFit="1" customWidth="1"/>
  </cols>
  <sheetData>
    <row r="1" spans="1:10" x14ac:dyDescent="0.35">
      <c r="B1" s="2"/>
      <c r="C1" s="2"/>
      <c r="D1" s="2"/>
      <c r="E1" s="2"/>
      <c r="F1" s="2"/>
      <c r="H1" s="2"/>
    </row>
    <row r="2" spans="1:10" s="42" customFormat="1" ht="58" x14ac:dyDescent="0.35">
      <c r="B2" s="42" t="s">
        <v>39</v>
      </c>
      <c r="C2" s="42" t="s">
        <v>41</v>
      </c>
      <c r="D2" s="42" t="s">
        <v>46</v>
      </c>
      <c r="E2" s="42" t="s">
        <v>44</v>
      </c>
      <c r="F2" s="42" t="s">
        <v>43</v>
      </c>
      <c r="G2" s="42" t="s">
        <v>45</v>
      </c>
    </row>
    <row r="3" spans="1:10" s="44" customFormat="1" x14ac:dyDescent="0.35">
      <c r="A3" s="40" t="s">
        <v>29</v>
      </c>
      <c r="B3" s="40" t="s">
        <v>27</v>
      </c>
      <c r="C3" s="40" t="s">
        <v>28</v>
      </c>
      <c r="D3" s="40" t="s">
        <v>42</v>
      </c>
      <c r="E3" s="40" t="s">
        <v>36</v>
      </c>
      <c r="F3" s="40" t="s">
        <v>32</v>
      </c>
      <c r="G3" s="40" t="s">
        <v>47</v>
      </c>
      <c r="H3" s="40" t="s">
        <v>48</v>
      </c>
      <c r="I3" s="40" t="s">
        <v>49</v>
      </c>
    </row>
    <row r="4" spans="1:10" s="3" customFormat="1" x14ac:dyDescent="0.35">
      <c r="A4" s="39" t="s">
        <v>37</v>
      </c>
    </row>
    <row r="5" spans="1:10" x14ac:dyDescent="0.35">
      <c r="A5" t="s">
        <v>26</v>
      </c>
      <c r="B5" s="5">
        <v>258377600</v>
      </c>
      <c r="C5" s="5">
        <v>258377600</v>
      </c>
      <c r="D5" s="5">
        <f>B5+C5</f>
        <v>516755200</v>
      </c>
      <c r="E5" s="6">
        <f>D5*0.06</f>
        <v>31005312</v>
      </c>
      <c r="F5" s="6">
        <v>4183536</v>
      </c>
      <c r="G5" s="7">
        <f>D5+E5+F5</f>
        <v>551944048</v>
      </c>
      <c r="H5" s="46">
        <f>G5-D5</f>
        <v>35188848</v>
      </c>
      <c r="I5" s="1">
        <f t="shared" ref="I5:I10" si="0">IFERROR(H5/D5,)</f>
        <v>6.8095779200673737E-2</v>
      </c>
      <c r="J5" s="2"/>
    </row>
    <row r="6" spans="1:10" x14ac:dyDescent="0.35">
      <c r="A6" t="s">
        <v>7</v>
      </c>
      <c r="B6" s="5">
        <v>55434396</v>
      </c>
      <c r="C6" s="5">
        <v>55434396</v>
      </c>
      <c r="D6" s="5">
        <f>B6+C6</f>
        <v>110868792</v>
      </c>
      <c r="E6" s="6">
        <f t="shared" ref="E6" si="1">D6*0.06</f>
        <v>6652127.5199999996</v>
      </c>
      <c r="F6" s="6">
        <v>347256</v>
      </c>
      <c r="G6" s="7">
        <f t="shared" ref="G6:G9" si="2">D6+E6+F6</f>
        <v>117868175.52</v>
      </c>
      <c r="H6" s="46">
        <f t="shared" ref="H6:H9" si="3">G6-D6</f>
        <v>6999383.5199999958</v>
      </c>
      <c r="I6" s="1">
        <f t="shared" si="0"/>
        <v>6.3132134785052904E-2</v>
      </c>
    </row>
    <row r="7" spans="1:10" x14ac:dyDescent="0.35">
      <c r="A7" t="s">
        <v>12</v>
      </c>
      <c r="B7" s="5">
        <v>13229374.523517389</v>
      </c>
      <c r="C7" s="5">
        <v>13229374.523517389</v>
      </c>
      <c r="D7" s="5">
        <f>B7+C7</f>
        <v>26458749.047034778</v>
      </c>
      <c r="E7" s="6">
        <v>0</v>
      </c>
      <c r="F7" s="6">
        <v>169440</v>
      </c>
      <c r="G7" s="7">
        <f t="shared" si="2"/>
        <v>26628189.047034778</v>
      </c>
      <c r="H7" s="46">
        <f t="shared" si="3"/>
        <v>169440</v>
      </c>
      <c r="I7" s="1">
        <f t="shared" si="0"/>
        <v>6.403930877411949E-3</v>
      </c>
    </row>
    <row r="8" spans="1:10" x14ac:dyDescent="0.35">
      <c r="A8" t="s">
        <v>13</v>
      </c>
      <c r="B8" s="5">
        <v>740654.86782760639</v>
      </c>
      <c r="C8" s="5">
        <v>740654.86782760639</v>
      </c>
      <c r="D8" s="5">
        <f>B8+C8</f>
        <v>1481309.7356552128</v>
      </c>
      <c r="E8" s="6">
        <v>0</v>
      </c>
      <c r="F8" s="6">
        <v>9600</v>
      </c>
      <c r="G8" s="7">
        <f t="shared" si="2"/>
        <v>1490909.7356552128</v>
      </c>
      <c r="H8" s="46">
        <f t="shared" si="3"/>
        <v>9600</v>
      </c>
      <c r="I8" s="1">
        <f t="shared" si="0"/>
        <v>6.4807513033415184E-3</v>
      </c>
    </row>
    <row r="9" spans="1:10" x14ac:dyDescent="0.35">
      <c r="A9" t="s">
        <v>14</v>
      </c>
      <c r="B9" s="8">
        <v>4526723.9400540851</v>
      </c>
      <c r="C9" s="8">
        <v>4526723.9400540851</v>
      </c>
      <c r="D9" s="8">
        <f>B9+C9</f>
        <v>9053447.8801081702</v>
      </c>
      <c r="E9" s="9">
        <v>0</v>
      </c>
      <c r="F9" s="9">
        <v>52088.400000000009</v>
      </c>
      <c r="G9" s="14">
        <f t="shared" si="2"/>
        <v>9105536.2801081706</v>
      </c>
      <c r="H9" s="47">
        <f t="shared" si="3"/>
        <v>52088.400000000373</v>
      </c>
      <c r="I9" s="11">
        <f t="shared" si="0"/>
        <v>5.7534323596700292E-3</v>
      </c>
    </row>
    <row r="10" spans="1:10" x14ac:dyDescent="0.35">
      <c r="A10" s="3" t="s">
        <v>50</v>
      </c>
      <c r="B10" s="48">
        <f>SUM(B5:B9)</f>
        <v>332308749.33139902</v>
      </c>
      <c r="C10" s="48">
        <f t="shared" ref="C10:H10" si="4">SUM(C5:C9)</f>
        <v>332308749.33139902</v>
      </c>
      <c r="D10" s="48">
        <f t="shared" si="4"/>
        <v>664617498.66279805</v>
      </c>
      <c r="E10" s="48">
        <f t="shared" si="4"/>
        <v>37657439.519999996</v>
      </c>
      <c r="F10" s="48">
        <f t="shared" si="4"/>
        <v>4761920.4000000004</v>
      </c>
      <c r="G10" s="48">
        <f t="shared" si="4"/>
        <v>707036858.58279812</v>
      </c>
      <c r="H10" s="48">
        <f t="shared" si="4"/>
        <v>42419359.919999994</v>
      </c>
      <c r="I10" s="49">
        <f t="shared" si="0"/>
        <v>6.3825222786560998E-2</v>
      </c>
    </row>
    <row r="11" spans="1:10" x14ac:dyDescent="0.35">
      <c r="B11" s="5"/>
      <c r="C11" s="5"/>
      <c r="D11" s="5"/>
      <c r="E11" s="6"/>
      <c r="F11" s="6"/>
      <c r="G11" s="6"/>
      <c r="H11" s="7"/>
      <c r="I11" s="2"/>
    </row>
    <row r="12" spans="1:10" ht="58" x14ac:dyDescent="0.35">
      <c r="B12" s="42" t="s">
        <v>39</v>
      </c>
      <c r="C12" s="42" t="s">
        <v>41</v>
      </c>
      <c r="D12" s="42" t="s">
        <v>46</v>
      </c>
      <c r="E12" s="52" t="s">
        <v>53</v>
      </c>
      <c r="F12" s="52" t="s">
        <v>53</v>
      </c>
      <c r="G12" s="50" t="s">
        <v>52</v>
      </c>
      <c r="H12" s="7"/>
      <c r="I12" s="2"/>
    </row>
    <row r="13" spans="1:10" x14ac:dyDescent="0.35">
      <c r="A13" s="40" t="s">
        <v>29</v>
      </c>
      <c r="B13" s="40" t="s">
        <v>27</v>
      </c>
      <c r="C13" s="40" t="s">
        <v>28</v>
      </c>
      <c r="D13" s="40" t="s">
        <v>42</v>
      </c>
      <c r="E13" s="40" t="s">
        <v>36</v>
      </c>
      <c r="F13" s="40" t="s">
        <v>32</v>
      </c>
      <c r="G13" s="40" t="s">
        <v>47</v>
      </c>
      <c r="H13" s="40" t="s">
        <v>48</v>
      </c>
      <c r="I13" s="40" t="s">
        <v>49</v>
      </c>
    </row>
    <row r="14" spans="1:10" x14ac:dyDescent="0.35">
      <c r="A14" s="39" t="s">
        <v>38</v>
      </c>
      <c r="I14" s="1">
        <f>IFERROR(H14/D14,)</f>
        <v>0</v>
      </c>
    </row>
    <row r="15" spans="1:10" x14ac:dyDescent="0.35">
      <c r="A15" t="s">
        <v>8</v>
      </c>
      <c r="I15" s="1">
        <f t="shared" ref="I15:I29" si="5">IFERROR(H15/D15,)</f>
        <v>0</v>
      </c>
    </row>
    <row r="16" spans="1:10" x14ac:dyDescent="0.35">
      <c r="A16" t="s">
        <v>9</v>
      </c>
      <c r="I16" s="1">
        <f t="shared" si="5"/>
        <v>0</v>
      </c>
    </row>
    <row r="17" spans="1:9" x14ac:dyDescent="0.35">
      <c r="A17" t="s">
        <v>10</v>
      </c>
      <c r="I17" s="1">
        <f t="shared" si="5"/>
        <v>0</v>
      </c>
    </row>
    <row r="18" spans="1:9" x14ac:dyDescent="0.35">
      <c r="A18" t="s">
        <v>11</v>
      </c>
      <c r="H18" s="37"/>
      <c r="I18" s="1">
        <f t="shared" si="5"/>
        <v>0</v>
      </c>
    </row>
    <row r="19" spans="1:9" x14ac:dyDescent="0.35">
      <c r="A19" t="s">
        <v>15</v>
      </c>
      <c r="H19" s="38"/>
      <c r="I19" s="1">
        <f t="shared" si="5"/>
        <v>0</v>
      </c>
    </row>
    <row r="20" spans="1:9" x14ac:dyDescent="0.35">
      <c r="A20" t="s">
        <v>16</v>
      </c>
      <c r="I20" s="1">
        <f t="shared" si="5"/>
        <v>0</v>
      </c>
    </row>
    <row r="21" spans="1:9" x14ac:dyDescent="0.35">
      <c r="A21" t="s">
        <v>17</v>
      </c>
      <c r="I21" s="1">
        <f t="shared" si="5"/>
        <v>0</v>
      </c>
    </row>
    <row r="22" spans="1:9" x14ac:dyDescent="0.35">
      <c r="A22" t="s">
        <v>18</v>
      </c>
      <c r="I22" s="1">
        <f t="shared" si="5"/>
        <v>0</v>
      </c>
    </row>
    <row r="23" spans="1:9" x14ac:dyDescent="0.35">
      <c r="A23" t="s">
        <v>19</v>
      </c>
      <c r="I23" s="1">
        <f t="shared" si="5"/>
        <v>0</v>
      </c>
    </row>
    <row r="24" spans="1:9" x14ac:dyDescent="0.35">
      <c r="A24" t="s">
        <v>20</v>
      </c>
      <c r="I24" s="1">
        <f t="shared" si="5"/>
        <v>0</v>
      </c>
    </row>
    <row r="25" spans="1:9" x14ac:dyDescent="0.35">
      <c r="A25" t="s">
        <v>21</v>
      </c>
      <c r="I25" s="1">
        <f t="shared" si="5"/>
        <v>0</v>
      </c>
    </row>
    <row r="26" spans="1:9" x14ac:dyDescent="0.35">
      <c r="A26" t="s">
        <v>22</v>
      </c>
      <c r="I26" s="1">
        <f t="shared" si="5"/>
        <v>0</v>
      </c>
    </row>
    <row r="27" spans="1:9" x14ac:dyDescent="0.35">
      <c r="A27" t="s">
        <v>23</v>
      </c>
      <c r="I27" s="1">
        <f t="shared" si="5"/>
        <v>0</v>
      </c>
    </row>
    <row r="28" spans="1:9" x14ac:dyDescent="0.35">
      <c r="A28" t="s">
        <v>24</v>
      </c>
      <c r="B28" s="51"/>
      <c r="C28" s="51"/>
      <c r="D28" s="51"/>
      <c r="E28" s="51"/>
      <c r="F28" s="51"/>
      <c r="G28" s="51"/>
      <c r="H28" s="51"/>
      <c r="I28" s="11">
        <f t="shared" si="5"/>
        <v>0</v>
      </c>
    </row>
    <row r="29" spans="1:9" s="3" customFormat="1" x14ac:dyDescent="0.35">
      <c r="A29" s="3" t="s">
        <v>51</v>
      </c>
      <c r="B29" s="53">
        <f>SUM(B14:B28)</f>
        <v>0</v>
      </c>
      <c r="C29" s="53">
        <f t="shared" ref="C29:H29" si="6">SUM(C14:C28)</f>
        <v>0</v>
      </c>
      <c r="D29" s="53">
        <f t="shared" si="6"/>
        <v>0</v>
      </c>
      <c r="E29" s="53">
        <f t="shared" si="6"/>
        <v>0</v>
      </c>
      <c r="F29" s="53">
        <f t="shared" si="6"/>
        <v>0</v>
      </c>
      <c r="G29" s="53">
        <f t="shared" si="6"/>
        <v>0</v>
      </c>
      <c r="H29" s="53">
        <f t="shared" si="6"/>
        <v>0</v>
      </c>
      <c r="I29" s="49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52AF-3106-4BEF-8A24-2B5D61C2AD23}">
  <dimension ref="A1:J29"/>
  <sheetViews>
    <sheetView tabSelected="1" zoomScale="70" zoomScaleNormal="70" workbookViewId="0">
      <pane xSplit="1" ySplit="3" topLeftCell="B9" activePane="bottomRight" state="frozen"/>
      <selection pane="topRight" activeCell="C1" sqref="C1"/>
      <selection pane="bottomLeft" activeCell="A4" sqref="A4"/>
      <selection pane="bottomRight" activeCell="E28" sqref="E28"/>
    </sheetView>
  </sheetViews>
  <sheetFormatPr defaultRowHeight="14.5" x14ac:dyDescent="0.35"/>
  <cols>
    <col min="1" max="1" width="44.90625" bestFit="1" customWidth="1"/>
    <col min="2" max="2" width="22.36328125" customWidth="1"/>
    <col min="3" max="3" width="25.26953125" customWidth="1"/>
    <col min="4" max="4" width="19.7265625" bestFit="1" customWidth="1"/>
    <col min="5" max="5" width="17" bestFit="1" customWidth="1"/>
    <col min="6" max="6" width="25.453125" customWidth="1"/>
    <col min="7" max="7" width="23.6328125" customWidth="1"/>
    <col min="8" max="9" width="29.6328125" customWidth="1"/>
    <col min="10" max="10" width="14.36328125" bestFit="1" customWidth="1"/>
  </cols>
  <sheetData>
    <row r="1" spans="1:10" x14ac:dyDescent="0.35">
      <c r="B1" s="2"/>
      <c r="C1" s="2"/>
      <c r="D1" s="2"/>
      <c r="E1" s="2"/>
      <c r="F1" s="2"/>
      <c r="H1" s="2"/>
    </row>
    <row r="2" spans="1:10" s="42" customFormat="1" ht="58" x14ac:dyDescent="0.35">
      <c r="B2" s="42" t="s">
        <v>39</v>
      </c>
      <c r="C2" s="42" t="s">
        <v>41</v>
      </c>
      <c r="D2" s="42" t="s">
        <v>46</v>
      </c>
      <c r="E2" s="42" t="s">
        <v>44</v>
      </c>
      <c r="F2" s="42" t="s">
        <v>43</v>
      </c>
      <c r="G2" s="42" t="s">
        <v>45</v>
      </c>
    </row>
    <row r="3" spans="1:10" s="44" customFormat="1" x14ac:dyDescent="0.35">
      <c r="A3" s="40" t="s">
        <v>29</v>
      </c>
      <c r="B3" s="40" t="s">
        <v>27</v>
      </c>
      <c r="C3" s="40" t="s">
        <v>28</v>
      </c>
      <c r="D3" s="40" t="s">
        <v>42</v>
      </c>
      <c r="E3" s="40" t="s">
        <v>36</v>
      </c>
      <c r="F3" s="40" t="s">
        <v>32</v>
      </c>
      <c r="G3" s="40" t="s">
        <v>47</v>
      </c>
      <c r="H3" s="40" t="s">
        <v>48</v>
      </c>
      <c r="I3" s="40" t="s">
        <v>49</v>
      </c>
    </row>
    <row r="4" spans="1:10" s="3" customFormat="1" x14ac:dyDescent="0.35">
      <c r="A4" s="39" t="s">
        <v>37</v>
      </c>
    </row>
    <row r="5" spans="1:10" x14ac:dyDescent="0.35">
      <c r="A5" t="s">
        <v>26</v>
      </c>
      <c r="B5" s="5">
        <v>258377600</v>
      </c>
      <c r="C5" s="5">
        <v>258377600</v>
      </c>
      <c r="D5" s="5">
        <f>B5+C5</f>
        <v>516755200</v>
      </c>
      <c r="E5" s="6">
        <f>D5*0.06</f>
        <v>31005312</v>
      </c>
      <c r="F5" s="6">
        <v>4183536</v>
      </c>
      <c r="G5" s="7">
        <f>D5+E5+F5</f>
        <v>551944048</v>
      </c>
      <c r="H5" s="46">
        <f>G5-D5</f>
        <v>35188848</v>
      </c>
      <c r="I5" s="1">
        <f t="shared" ref="I5:I10" si="0">IFERROR(H5/D5,)</f>
        <v>6.8095779200673737E-2</v>
      </c>
      <c r="J5" s="2"/>
    </row>
    <row r="6" spans="1:10" x14ac:dyDescent="0.35">
      <c r="A6" t="s">
        <v>7</v>
      </c>
      <c r="B6" s="5">
        <v>55434396</v>
      </c>
      <c r="C6" s="5">
        <v>55434396</v>
      </c>
      <c r="D6" s="5">
        <f t="shared" ref="D6:D9" si="1">B6+C6</f>
        <v>110868792</v>
      </c>
      <c r="E6" s="6">
        <f t="shared" ref="E6" si="2">D6*0.06</f>
        <v>6652127.5199999996</v>
      </c>
      <c r="F6" s="6">
        <v>347256</v>
      </c>
      <c r="G6" s="7">
        <f t="shared" ref="G6:G9" si="3">D6+E6+F6</f>
        <v>117868175.52</v>
      </c>
      <c r="H6" s="46">
        <f t="shared" ref="H6:H9" si="4">G6-D6</f>
        <v>6999383.5199999958</v>
      </c>
      <c r="I6" s="1">
        <f t="shared" si="0"/>
        <v>6.3132134785052904E-2</v>
      </c>
    </row>
    <row r="7" spans="1:10" x14ac:dyDescent="0.35">
      <c r="A7" t="s">
        <v>12</v>
      </c>
      <c r="B7" s="5">
        <v>13229374.523517389</v>
      </c>
      <c r="C7" s="5">
        <v>13229374.523517389</v>
      </c>
      <c r="D7" s="5">
        <f t="shared" si="1"/>
        <v>26458749.047034778</v>
      </c>
      <c r="E7" s="6">
        <v>0</v>
      </c>
      <c r="F7" s="6">
        <v>169440</v>
      </c>
      <c r="G7" s="7">
        <f t="shared" si="3"/>
        <v>26628189.047034778</v>
      </c>
      <c r="H7" s="46">
        <f t="shared" si="4"/>
        <v>169440</v>
      </c>
      <c r="I7" s="1">
        <f t="shared" si="0"/>
        <v>6.403930877411949E-3</v>
      </c>
    </row>
    <row r="8" spans="1:10" x14ac:dyDescent="0.35">
      <c r="A8" t="s">
        <v>13</v>
      </c>
      <c r="B8" s="5">
        <v>740654.86782760639</v>
      </c>
      <c r="C8" s="5">
        <v>740654.86782760639</v>
      </c>
      <c r="D8" s="5">
        <f t="shared" si="1"/>
        <v>1481309.7356552128</v>
      </c>
      <c r="E8" s="6">
        <v>0</v>
      </c>
      <c r="F8" s="6">
        <v>9600</v>
      </c>
      <c r="G8" s="7">
        <f t="shared" si="3"/>
        <v>1490909.7356552128</v>
      </c>
      <c r="H8" s="46">
        <f t="shared" si="4"/>
        <v>9600</v>
      </c>
      <c r="I8" s="1">
        <f t="shared" si="0"/>
        <v>6.4807513033415184E-3</v>
      </c>
    </row>
    <row r="9" spans="1:10" x14ac:dyDescent="0.35">
      <c r="A9" t="s">
        <v>14</v>
      </c>
      <c r="B9" s="8">
        <v>4526723.9400540851</v>
      </c>
      <c r="C9" s="8">
        <v>4526723.9400540851</v>
      </c>
      <c r="D9" s="8">
        <f t="shared" si="1"/>
        <v>9053447.8801081702</v>
      </c>
      <c r="E9" s="9">
        <v>0</v>
      </c>
      <c r="F9" s="9">
        <v>52088.400000000009</v>
      </c>
      <c r="G9" s="14">
        <f t="shared" si="3"/>
        <v>9105536.2801081706</v>
      </c>
      <c r="H9" s="47">
        <f t="shared" si="4"/>
        <v>52088.400000000373</v>
      </c>
      <c r="I9" s="11">
        <f t="shared" si="0"/>
        <v>5.7534323596700292E-3</v>
      </c>
    </row>
    <row r="10" spans="1:10" x14ac:dyDescent="0.35">
      <c r="A10" s="3" t="s">
        <v>50</v>
      </c>
      <c r="B10" s="48">
        <f>SUM(B5:B9)</f>
        <v>332308749.33139902</v>
      </c>
      <c r="C10" s="48">
        <f t="shared" ref="C10:H10" si="5">SUM(C5:C9)</f>
        <v>332308749.33139902</v>
      </c>
      <c r="D10" s="48">
        <f t="shared" si="5"/>
        <v>664617498.66279805</v>
      </c>
      <c r="E10" s="48">
        <f t="shared" si="5"/>
        <v>37657439.519999996</v>
      </c>
      <c r="F10" s="48">
        <f t="shared" si="5"/>
        <v>4761920.4000000004</v>
      </c>
      <c r="G10" s="48">
        <f t="shared" si="5"/>
        <v>707036858.58279812</v>
      </c>
      <c r="H10" s="48">
        <f t="shared" si="5"/>
        <v>42419359.919999994</v>
      </c>
      <c r="I10" s="49">
        <f t="shared" si="0"/>
        <v>6.3825222786560998E-2</v>
      </c>
    </row>
    <row r="11" spans="1:10" x14ac:dyDescent="0.35">
      <c r="B11" s="5"/>
      <c r="C11" s="5"/>
      <c r="D11" s="5"/>
      <c r="E11" s="6"/>
      <c r="F11" s="6"/>
      <c r="G11" s="6"/>
      <c r="H11" s="7"/>
      <c r="I11" s="2"/>
    </row>
    <row r="12" spans="1:10" ht="58" x14ac:dyDescent="0.35">
      <c r="B12" s="42" t="s">
        <v>39</v>
      </c>
      <c r="C12" s="42" t="s">
        <v>41</v>
      </c>
      <c r="D12" s="42" t="s">
        <v>46</v>
      </c>
      <c r="E12" s="52" t="s">
        <v>53</v>
      </c>
      <c r="F12" s="52" t="s">
        <v>53</v>
      </c>
      <c r="G12" s="50" t="s">
        <v>52</v>
      </c>
      <c r="H12" s="7"/>
      <c r="I12" s="2"/>
    </row>
    <row r="13" spans="1:10" x14ac:dyDescent="0.35">
      <c r="A13" s="40" t="s">
        <v>29</v>
      </c>
      <c r="B13" s="40" t="s">
        <v>27</v>
      </c>
      <c r="C13" s="40" t="s">
        <v>28</v>
      </c>
      <c r="D13" s="40" t="s">
        <v>42</v>
      </c>
      <c r="E13" s="40" t="s">
        <v>36</v>
      </c>
      <c r="F13" s="40" t="s">
        <v>32</v>
      </c>
      <c r="G13" s="40" t="s">
        <v>47</v>
      </c>
      <c r="H13" s="40" t="s">
        <v>48</v>
      </c>
      <c r="I13" s="40" t="s">
        <v>49</v>
      </c>
    </row>
    <row r="14" spans="1:10" x14ac:dyDescent="0.35">
      <c r="A14" s="39" t="s">
        <v>38</v>
      </c>
      <c r="I14" s="1">
        <f>IFERROR(H14/D14,)</f>
        <v>0</v>
      </c>
    </row>
    <row r="15" spans="1:10" x14ac:dyDescent="0.35">
      <c r="A15" t="s">
        <v>8</v>
      </c>
      <c r="I15" s="1">
        <f t="shared" ref="I15:I29" si="6">IFERROR(H15/D15,)</f>
        <v>0</v>
      </c>
    </row>
    <row r="16" spans="1:10" x14ac:dyDescent="0.35">
      <c r="A16" s="54" t="s">
        <v>9</v>
      </c>
      <c r="I16" s="1">
        <f t="shared" si="6"/>
        <v>0</v>
      </c>
    </row>
    <row r="17" spans="1:9" x14ac:dyDescent="0.35">
      <c r="A17" s="54" t="s">
        <v>10</v>
      </c>
      <c r="I17" s="1">
        <f t="shared" si="6"/>
        <v>0</v>
      </c>
    </row>
    <row r="18" spans="1:9" x14ac:dyDescent="0.35">
      <c r="A18" s="54" t="s">
        <v>11</v>
      </c>
      <c r="H18" s="37"/>
      <c r="I18" s="1">
        <f t="shared" si="6"/>
        <v>0</v>
      </c>
    </row>
    <row r="19" spans="1:9" x14ac:dyDescent="0.35">
      <c r="A19" t="s">
        <v>15</v>
      </c>
      <c r="H19" s="38"/>
      <c r="I19" s="1">
        <f t="shared" si="6"/>
        <v>0</v>
      </c>
    </row>
    <row r="20" spans="1:9" x14ac:dyDescent="0.35">
      <c r="A20" t="s">
        <v>16</v>
      </c>
      <c r="I20" s="1">
        <f t="shared" si="6"/>
        <v>0</v>
      </c>
    </row>
    <row r="21" spans="1:9" x14ac:dyDescent="0.35">
      <c r="A21" t="s">
        <v>17</v>
      </c>
      <c r="I21" s="1">
        <f t="shared" si="6"/>
        <v>0</v>
      </c>
    </row>
    <row r="22" spans="1:9" x14ac:dyDescent="0.35">
      <c r="A22" t="s">
        <v>18</v>
      </c>
      <c r="I22" s="1">
        <f t="shared" si="6"/>
        <v>0</v>
      </c>
    </row>
    <row r="23" spans="1:9" x14ac:dyDescent="0.35">
      <c r="A23" t="s">
        <v>19</v>
      </c>
      <c r="I23" s="1">
        <f t="shared" si="6"/>
        <v>0</v>
      </c>
    </row>
    <row r="24" spans="1:9" x14ac:dyDescent="0.35">
      <c r="A24" t="s">
        <v>20</v>
      </c>
      <c r="I24" s="1">
        <f t="shared" si="6"/>
        <v>0</v>
      </c>
    </row>
    <row r="25" spans="1:9" x14ac:dyDescent="0.35">
      <c r="A25" t="s">
        <v>21</v>
      </c>
      <c r="I25" s="1">
        <f t="shared" si="6"/>
        <v>0</v>
      </c>
    </row>
    <row r="26" spans="1:9" x14ac:dyDescent="0.35">
      <c r="A26" t="s">
        <v>22</v>
      </c>
      <c r="I26" s="1">
        <f t="shared" si="6"/>
        <v>0</v>
      </c>
    </row>
    <row r="27" spans="1:9" x14ac:dyDescent="0.35">
      <c r="A27" t="s">
        <v>23</v>
      </c>
      <c r="I27" s="1">
        <f t="shared" si="6"/>
        <v>0</v>
      </c>
    </row>
    <row r="28" spans="1:9" x14ac:dyDescent="0.35">
      <c r="A28" t="s">
        <v>24</v>
      </c>
      <c r="B28" s="51"/>
      <c r="C28" s="51"/>
      <c r="D28" s="51"/>
      <c r="E28" s="51"/>
      <c r="F28" s="51"/>
      <c r="G28" s="51"/>
      <c r="H28" s="51"/>
      <c r="I28" s="11">
        <f t="shared" si="6"/>
        <v>0</v>
      </c>
    </row>
    <row r="29" spans="1:9" s="3" customFormat="1" x14ac:dyDescent="0.35">
      <c r="A29" s="3" t="s">
        <v>51</v>
      </c>
      <c r="B29" s="53">
        <f>SUM(B14:B28)</f>
        <v>0</v>
      </c>
      <c r="C29" s="53">
        <f t="shared" ref="C29:H29" si="7">SUM(C14:C28)</f>
        <v>0</v>
      </c>
      <c r="D29" s="53">
        <f t="shared" si="7"/>
        <v>0</v>
      </c>
      <c r="E29" s="53">
        <f t="shared" si="7"/>
        <v>0</v>
      </c>
      <c r="F29" s="53">
        <f t="shared" si="7"/>
        <v>0</v>
      </c>
      <c r="G29" s="53">
        <f t="shared" si="7"/>
        <v>0</v>
      </c>
      <c r="H29" s="53">
        <f t="shared" si="7"/>
        <v>0</v>
      </c>
      <c r="I29" s="49">
        <f t="shared" si="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01FE-00E5-43CD-84B1-B25BD0D56267}">
  <dimension ref="A1:BT25"/>
  <sheetViews>
    <sheetView zoomScale="60" zoomScaleNormal="60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A10" sqref="A10:A24"/>
    </sheetView>
  </sheetViews>
  <sheetFormatPr defaultRowHeight="14.5" x14ac:dyDescent="0.35"/>
  <cols>
    <col min="1" max="1" width="31.7265625" customWidth="1"/>
    <col min="2" max="2" width="16.6328125" customWidth="1"/>
    <col min="3" max="5" width="14.81640625" customWidth="1"/>
    <col min="6" max="6" width="16.90625" customWidth="1"/>
    <col min="7" max="7" width="16.36328125" customWidth="1"/>
    <col min="8" max="8" width="19.1796875" customWidth="1"/>
    <col min="9" max="9" width="1.90625" customWidth="1"/>
    <col min="10" max="10" width="16.6328125" customWidth="1"/>
    <col min="11" max="13" width="14.81640625" customWidth="1"/>
    <col min="14" max="14" width="16.90625" customWidth="1"/>
    <col min="15" max="15" width="16.36328125" customWidth="1"/>
    <col min="16" max="16" width="19.1796875" customWidth="1"/>
    <col min="17" max="17" width="1.54296875" customWidth="1"/>
    <col min="18" max="18" width="16.6328125" customWidth="1"/>
    <col min="19" max="21" width="14.81640625" customWidth="1"/>
    <col min="22" max="22" width="16.90625" customWidth="1"/>
    <col min="23" max="23" width="16.36328125" customWidth="1"/>
    <col min="24" max="24" width="19.1796875" customWidth="1"/>
    <col min="25" max="25" width="1.54296875" customWidth="1"/>
    <col min="26" max="26" width="17.6328125" customWidth="1"/>
    <col min="27" max="28" width="17.453125" customWidth="1"/>
    <col min="29" max="29" width="18.1796875" customWidth="1"/>
    <col min="30" max="32" width="17.453125" customWidth="1"/>
    <col min="33" max="33" width="1.453125" customWidth="1"/>
    <col min="34" max="36" width="17.453125" customWidth="1"/>
    <col min="37" max="37" width="18.1796875" customWidth="1"/>
    <col min="38" max="40" width="17.453125" customWidth="1"/>
    <col min="41" max="41" width="1.81640625" customWidth="1"/>
    <col min="42" max="44" width="19.453125" customWidth="1"/>
    <col min="45" max="45" width="20.08984375" customWidth="1"/>
    <col min="46" max="48" width="19.453125" customWidth="1"/>
    <col min="49" max="49" width="1.81640625" customWidth="1"/>
    <col min="50" max="51" width="24.453125" customWidth="1"/>
    <col min="52" max="52" width="24.7265625" customWidth="1"/>
    <col min="53" max="53" width="24.453125" customWidth="1"/>
    <col min="54" max="54" width="23.7265625" customWidth="1"/>
    <col min="55" max="55" width="22.7265625" customWidth="1"/>
    <col min="56" max="56" width="24.453125" customWidth="1"/>
    <col min="57" max="57" width="2.1796875" customWidth="1"/>
    <col min="58" max="62" width="21.453125" customWidth="1"/>
    <col min="63" max="63" width="20.453125" customWidth="1"/>
    <col min="64" max="64" width="21.453125" customWidth="1"/>
    <col min="65" max="65" width="2.1796875" customWidth="1"/>
    <col min="66" max="72" width="16.54296875" customWidth="1"/>
  </cols>
  <sheetData>
    <row r="1" spans="1:72" ht="15" thickBot="1" x14ac:dyDescent="0.4">
      <c r="B1" s="16"/>
      <c r="C1" s="16"/>
      <c r="D1" s="16"/>
      <c r="E1" s="16"/>
      <c r="F1" s="17"/>
      <c r="G1" s="2"/>
      <c r="H1" s="2"/>
      <c r="I1" s="2"/>
      <c r="J1" s="16"/>
      <c r="K1" s="16"/>
      <c r="L1" s="16"/>
      <c r="M1" s="16"/>
      <c r="N1" s="17"/>
      <c r="O1" s="2"/>
      <c r="P1" s="2"/>
      <c r="R1" s="16"/>
      <c r="S1" s="16"/>
      <c r="T1" s="16"/>
      <c r="U1" s="16"/>
      <c r="V1" s="17"/>
      <c r="W1" s="2"/>
      <c r="X1" s="2"/>
      <c r="AC1" s="2"/>
      <c r="AE1" s="2"/>
      <c r="AF1" s="2"/>
      <c r="AK1" s="2"/>
      <c r="AM1" s="2"/>
      <c r="AN1" s="2"/>
      <c r="BD1" s="2"/>
    </row>
    <row r="2" spans="1:72" s="3" customFormat="1" ht="15" thickBot="1" x14ac:dyDescent="0.4">
      <c r="B2" s="4" t="s">
        <v>27</v>
      </c>
      <c r="C2" s="18"/>
      <c r="D2" s="18"/>
      <c r="E2" s="18"/>
      <c r="F2" s="18"/>
      <c r="G2" s="18"/>
      <c r="H2" s="19"/>
      <c r="J2" s="4" t="s">
        <v>28</v>
      </c>
      <c r="K2" s="18"/>
      <c r="L2" s="18"/>
      <c r="M2" s="18"/>
      <c r="N2" s="18"/>
      <c r="O2" s="18"/>
      <c r="P2" s="19"/>
      <c r="R2" s="4" t="s">
        <v>30</v>
      </c>
      <c r="S2" s="18"/>
      <c r="T2" s="18"/>
      <c r="U2" s="18"/>
      <c r="V2" s="18"/>
      <c r="W2" s="18"/>
      <c r="X2" s="19"/>
      <c r="Z2" s="4" t="s">
        <v>36</v>
      </c>
      <c r="AA2" s="18"/>
      <c r="AB2" s="18"/>
      <c r="AC2" s="18"/>
      <c r="AD2" s="18"/>
      <c r="AE2" s="18"/>
      <c r="AF2" s="19"/>
      <c r="AH2" s="4" t="s">
        <v>31</v>
      </c>
      <c r="AI2" s="18"/>
      <c r="AJ2" s="18"/>
      <c r="AK2" s="18"/>
      <c r="AL2" s="18"/>
      <c r="AM2" s="18"/>
      <c r="AN2" s="19"/>
      <c r="AP2" s="4" t="s">
        <v>32</v>
      </c>
      <c r="AQ2" s="18"/>
      <c r="AR2" s="18"/>
      <c r="AS2" s="18"/>
      <c r="AT2" s="18"/>
      <c r="AU2" s="18"/>
      <c r="AV2" s="19"/>
      <c r="AX2" s="4" t="s">
        <v>33</v>
      </c>
      <c r="AY2" s="18"/>
      <c r="AZ2" s="18"/>
      <c r="BA2" s="18"/>
      <c r="BB2" s="18"/>
      <c r="BC2" s="18"/>
      <c r="BD2" s="19"/>
      <c r="BF2" s="4" t="s">
        <v>34</v>
      </c>
      <c r="BG2" s="18"/>
      <c r="BH2" s="18"/>
      <c r="BI2" s="18"/>
      <c r="BJ2" s="18"/>
      <c r="BK2" s="18"/>
      <c r="BL2" s="19"/>
      <c r="BN2" s="4" t="s">
        <v>35</v>
      </c>
      <c r="BO2" s="18"/>
      <c r="BP2" s="18"/>
      <c r="BQ2" s="18"/>
      <c r="BR2" s="18"/>
      <c r="BS2" s="18"/>
      <c r="BT2" s="19"/>
    </row>
    <row r="3" spans="1:72" s="3" customFormat="1" ht="15" thickBot="1" x14ac:dyDescent="0.4">
      <c r="A3" s="3" t="s">
        <v>29</v>
      </c>
      <c r="B3" s="20" t="s">
        <v>3</v>
      </c>
      <c r="C3" s="21" t="s">
        <v>0</v>
      </c>
      <c r="D3" s="21" t="s">
        <v>1</v>
      </c>
      <c r="E3" s="21" t="s">
        <v>4</v>
      </c>
      <c r="F3" s="21" t="s">
        <v>2</v>
      </c>
      <c r="G3" s="21" t="s">
        <v>5</v>
      </c>
      <c r="H3" s="22" t="s">
        <v>6</v>
      </c>
      <c r="I3" s="23"/>
      <c r="J3" s="20" t="s">
        <v>3</v>
      </c>
      <c r="K3" s="21" t="s">
        <v>0</v>
      </c>
      <c r="L3" s="21" t="s">
        <v>1</v>
      </c>
      <c r="M3" s="21" t="s">
        <v>4</v>
      </c>
      <c r="N3" s="21" t="s">
        <v>2</v>
      </c>
      <c r="O3" s="21" t="s">
        <v>5</v>
      </c>
      <c r="P3" s="22" t="s">
        <v>6</v>
      </c>
      <c r="R3" s="20" t="s">
        <v>3</v>
      </c>
      <c r="S3" s="21" t="s">
        <v>0</v>
      </c>
      <c r="T3" s="21" t="s">
        <v>1</v>
      </c>
      <c r="U3" s="21" t="s">
        <v>4</v>
      </c>
      <c r="V3" s="21" t="s">
        <v>2</v>
      </c>
      <c r="W3" s="21" t="s">
        <v>5</v>
      </c>
      <c r="X3" s="22" t="s">
        <v>6</v>
      </c>
      <c r="Z3" s="20" t="s">
        <v>3</v>
      </c>
      <c r="AA3" s="21" t="s">
        <v>0</v>
      </c>
      <c r="AB3" s="21" t="s">
        <v>1</v>
      </c>
      <c r="AC3" s="21" t="s">
        <v>4</v>
      </c>
      <c r="AD3" s="21" t="s">
        <v>2</v>
      </c>
      <c r="AE3" s="21" t="s">
        <v>5</v>
      </c>
      <c r="AF3" s="22" t="s">
        <v>6</v>
      </c>
      <c r="AH3" s="20" t="s">
        <v>3</v>
      </c>
      <c r="AI3" s="21" t="s">
        <v>0</v>
      </c>
      <c r="AJ3" s="21" t="s">
        <v>1</v>
      </c>
      <c r="AK3" s="21" t="s">
        <v>4</v>
      </c>
      <c r="AL3" s="21" t="s">
        <v>2</v>
      </c>
      <c r="AM3" s="21" t="s">
        <v>5</v>
      </c>
      <c r="AN3" s="22" t="s">
        <v>6</v>
      </c>
      <c r="AP3" s="20" t="s">
        <v>3</v>
      </c>
      <c r="AQ3" s="21" t="s">
        <v>0</v>
      </c>
      <c r="AR3" s="21" t="s">
        <v>1</v>
      </c>
      <c r="AS3" s="21" t="s">
        <v>4</v>
      </c>
      <c r="AT3" s="21" t="s">
        <v>2</v>
      </c>
      <c r="AU3" s="21" t="s">
        <v>5</v>
      </c>
      <c r="AV3" s="22" t="s">
        <v>6</v>
      </c>
      <c r="AX3" s="20" t="s">
        <v>3</v>
      </c>
      <c r="AY3" s="21" t="s">
        <v>0</v>
      </c>
      <c r="AZ3" s="21" t="s">
        <v>1</v>
      </c>
      <c r="BA3" s="21" t="s">
        <v>4</v>
      </c>
      <c r="BB3" s="21" t="s">
        <v>2</v>
      </c>
      <c r="BC3" s="21" t="s">
        <v>5</v>
      </c>
      <c r="BD3" s="22" t="s">
        <v>6</v>
      </c>
      <c r="BF3" s="20" t="s">
        <v>3</v>
      </c>
      <c r="BG3" s="21" t="s">
        <v>0</v>
      </c>
      <c r="BH3" s="21" t="s">
        <v>1</v>
      </c>
      <c r="BI3" s="21" t="s">
        <v>4</v>
      </c>
      <c r="BJ3" s="21" t="s">
        <v>2</v>
      </c>
      <c r="BK3" s="21" t="s">
        <v>5</v>
      </c>
      <c r="BL3" s="22" t="s">
        <v>6</v>
      </c>
      <c r="BN3" s="20" t="s">
        <v>3</v>
      </c>
      <c r="BO3" s="21" t="s">
        <v>0</v>
      </c>
      <c r="BP3" s="21" t="s">
        <v>1</v>
      </c>
      <c r="BQ3" s="21" t="s">
        <v>4</v>
      </c>
      <c r="BR3" s="21" t="s">
        <v>2</v>
      </c>
      <c r="BS3" s="21" t="s">
        <v>5</v>
      </c>
      <c r="BT3" s="22" t="s">
        <v>6</v>
      </c>
    </row>
    <row r="4" spans="1:72" s="3" customFormat="1" x14ac:dyDescent="0.35">
      <c r="A4" s="39" t="s">
        <v>37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R4" s="23"/>
      <c r="S4" s="23"/>
      <c r="T4" s="23"/>
      <c r="U4" s="23"/>
      <c r="V4" s="23"/>
      <c r="W4" s="23"/>
      <c r="X4" s="23"/>
      <c r="Z4" s="23"/>
      <c r="AA4" s="23"/>
      <c r="AB4" s="23"/>
      <c r="AC4" s="23"/>
      <c r="AD4" s="23"/>
      <c r="AE4" s="23"/>
      <c r="AF4" s="23"/>
      <c r="AH4" s="23"/>
      <c r="AI4" s="23"/>
      <c r="AJ4" s="23"/>
      <c r="AK4" s="23"/>
      <c r="AL4" s="23"/>
      <c r="AM4" s="23"/>
      <c r="AN4" s="23"/>
      <c r="AP4" s="23"/>
      <c r="AQ4" s="23"/>
      <c r="AR4" s="23"/>
      <c r="AS4" s="23"/>
      <c r="AT4" s="23"/>
      <c r="AU4" s="23"/>
      <c r="AV4" s="23"/>
      <c r="AX4" s="23"/>
      <c r="AY4" s="23"/>
      <c r="AZ4" s="23"/>
      <c r="BA4" s="23"/>
      <c r="BB4" s="23"/>
      <c r="BC4" s="23"/>
      <c r="BD4" s="23"/>
      <c r="BF4" s="23"/>
      <c r="BG4" s="23"/>
      <c r="BH4" s="23"/>
      <c r="BI4" s="23"/>
      <c r="BJ4" s="23"/>
      <c r="BK4" s="23"/>
      <c r="BL4" s="23"/>
      <c r="BN4" s="23"/>
      <c r="BO4" s="23"/>
      <c r="BP4" s="23"/>
      <c r="BQ4" s="23"/>
      <c r="BR4" s="23"/>
      <c r="BS4" s="23"/>
      <c r="BT4" s="23"/>
    </row>
    <row r="5" spans="1:72" x14ac:dyDescent="0.35">
      <c r="A5" t="s">
        <v>26</v>
      </c>
      <c r="B5" s="24">
        <v>41559600</v>
      </c>
      <c r="C5" s="24">
        <v>24536400</v>
      </c>
      <c r="D5" s="24">
        <v>3480000</v>
      </c>
      <c r="E5" s="24">
        <f>189165600-6000000-2000000</f>
        <v>181165600</v>
      </c>
      <c r="F5" s="24">
        <v>1236000</v>
      </c>
      <c r="G5" s="24">
        <v>6400000</v>
      </c>
      <c r="H5" s="25">
        <f>SUM(B5:G5)</f>
        <v>258377600</v>
      </c>
      <c r="I5" s="25"/>
      <c r="J5" s="24">
        <v>41559600</v>
      </c>
      <c r="K5" s="24">
        <v>24536400</v>
      </c>
      <c r="L5" s="24">
        <v>3480000</v>
      </c>
      <c r="M5" s="24">
        <f>189165600-6000000-2000000</f>
        <v>181165600</v>
      </c>
      <c r="N5" s="24">
        <v>1236000</v>
      </c>
      <c r="O5" s="24">
        <v>6400000</v>
      </c>
      <c r="P5" s="25">
        <f>SUM(J5:O5)</f>
        <v>258377600</v>
      </c>
      <c r="Q5" s="26"/>
      <c r="R5" s="24">
        <f>B5+J5</f>
        <v>83119200</v>
      </c>
      <c r="S5" s="24">
        <f t="shared" ref="S5:W5" si="0">C5+K5</f>
        <v>49072800</v>
      </c>
      <c r="T5" s="24">
        <f t="shared" si="0"/>
        <v>6960000</v>
      </c>
      <c r="U5" s="24">
        <f t="shared" si="0"/>
        <v>362331200</v>
      </c>
      <c r="V5" s="24">
        <f t="shared" si="0"/>
        <v>2472000</v>
      </c>
      <c r="W5" s="24">
        <f t="shared" si="0"/>
        <v>12800000</v>
      </c>
      <c r="X5" s="25">
        <f>SUM(R5:W5)</f>
        <v>516755200</v>
      </c>
      <c r="Y5" s="26"/>
      <c r="Z5" s="15">
        <f t="shared" ref="Z5:AE5" si="1">B5*0.06</f>
        <v>2493576</v>
      </c>
      <c r="AA5" s="15">
        <f t="shared" si="1"/>
        <v>1472184</v>
      </c>
      <c r="AB5" s="15">
        <f t="shared" si="1"/>
        <v>208800</v>
      </c>
      <c r="AC5" s="15">
        <f t="shared" si="1"/>
        <v>10869936</v>
      </c>
      <c r="AD5" s="15">
        <f t="shared" si="1"/>
        <v>74160</v>
      </c>
      <c r="AE5" s="15">
        <f t="shared" si="1"/>
        <v>384000</v>
      </c>
      <c r="AF5" s="15">
        <f>SUM(Z5:AE5)</f>
        <v>15502656</v>
      </c>
      <c r="AG5" s="27"/>
      <c r="AH5" s="15"/>
      <c r="AI5" s="15"/>
      <c r="AJ5" s="15"/>
      <c r="AK5" s="15"/>
      <c r="AL5" s="15"/>
      <c r="AM5" s="15"/>
      <c r="AN5" s="15">
        <f>SUM(AH5:AM5)</f>
        <v>0</v>
      </c>
      <c r="AO5" s="27"/>
      <c r="AP5" s="27">
        <v>1503504</v>
      </c>
      <c r="AQ5" s="27">
        <v>580032</v>
      </c>
      <c r="AR5" s="27"/>
      <c r="AS5" s="27"/>
      <c r="AT5" s="27"/>
      <c r="AU5" s="27">
        <v>2100000</v>
      </c>
      <c r="AV5" s="15">
        <f>SUM(AP5:AU5)</f>
        <v>4183536</v>
      </c>
      <c r="AW5" s="27"/>
      <c r="AX5" s="27">
        <f>R5+Z5+AH5+AP5</f>
        <v>87116280</v>
      </c>
      <c r="AY5" s="27">
        <f>C5+AA5+AI5+AQ5</f>
        <v>26588616</v>
      </c>
      <c r="AZ5" s="27">
        <f>D5+AB5+AJ5+AR5</f>
        <v>3688800</v>
      </c>
      <c r="BA5" s="27">
        <f>E5+AC5+AK5+AS5</f>
        <v>192035536</v>
      </c>
      <c r="BB5" s="27">
        <f>F5+AD5+AL5+AT5</f>
        <v>1310160</v>
      </c>
      <c r="BC5" s="27">
        <f>G5+AE5+AM5+AU5</f>
        <v>8884000</v>
      </c>
      <c r="BD5" s="15">
        <f>SUM(AX5:BC5)</f>
        <v>319623392</v>
      </c>
      <c r="BE5" s="26"/>
      <c r="BF5" s="13">
        <f>AX5-R5</f>
        <v>3997080</v>
      </c>
      <c r="BG5" s="13">
        <f t="shared" ref="BG5:BK5" si="2">AY5-S5</f>
        <v>-22484184</v>
      </c>
      <c r="BH5" s="13">
        <f t="shared" si="2"/>
        <v>-3271200</v>
      </c>
      <c r="BI5" s="13">
        <f t="shared" si="2"/>
        <v>-170295664</v>
      </c>
      <c r="BJ5" s="13">
        <f t="shared" si="2"/>
        <v>-1161840</v>
      </c>
      <c r="BK5" s="13">
        <f t="shared" si="2"/>
        <v>-3916000</v>
      </c>
      <c r="BL5" s="13">
        <f>SUM(BF5:BK5)</f>
        <v>-197131808</v>
      </c>
      <c r="BM5" s="26"/>
      <c r="BN5" s="28">
        <f>IFERROR(BF5/R5,)</f>
        <v>4.8088528282274133E-2</v>
      </c>
      <c r="BO5" s="28">
        <f t="shared" ref="BO5:BT5" si="3">IFERROR(BG5/S5,)</f>
        <v>-0.45818017313053261</v>
      </c>
      <c r="BP5" s="28">
        <f t="shared" si="3"/>
        <v>-0.47</v>
      </c>
      <c r="BQ5" s="28">
        <f t="shared" si="3"/>
        <v>-0.47</v>
      </c>
      <c r="BR5" s="28">
        <f t="shared" si="3"/>
        <v>-0.47</v>
      </c>
      <c r="BS5" s="28">
        <f t="shared" si="3"/>
        <v>-0.30593749999999997</v>
      </c>
      <c r="BT5" s="28">
        <f t="shared" si="3"/>
        <v>-0.3814800663834636</v>
      </c>
    </row>
    <row r="6" spans="1:72" x14ac:dyDescent="0.35">
      <c r="A6" t="s">
        <v>7</v>
      </c>
      <c r="B6" s="24">
        <v>7342196</v>
      </c>
      <c r="C6" s="24">
        <v>4334764</v>
      </c>
      <c r="D6" s="24">
        <v>307400</v>
      </c>
      <c r="E6" s="24">
        <v>43340856</v>
      </c>
      <c r="F6" s="24">
        <v>109180</v>
      </c>
      <c r="G6" s="24">
        <v>0</v>
      </c>
      <c r="H6" s="25">
        <f>SUM(B6:G6)</f>
        <v>55434396</v>
      </c>
      <c r="I6" s="25"/>
      <c r="J6" s="24">
        <v>7342196</v>
      </c>
      <c r="K6" s="24">
        <v>4334764</v>
      </c>
      <c r="L6" s="24">
        <v>307400</v>
      </c>
      <c r="M6" s="24">
        <v>43340856</v>
      </c>
      <c r="N6" s="24">
        <v>109180</v>
      </c>
      <c r="O6" s="24">
        <v>0</v>
      </c>
      <c r="P6" s="25">
        <f>SUM(J6:O6)</f>
        <v>55434396</v>
      </c>
      <c r="Q6" s="26"/>
      <c r="R6" s="24">
        <f t="shared" ref="R6:R24" si="4">B6+J6</f>
        <v>14684392</v>
      </c>
      <c r="S6" s="24">
        <f t="shared" ref="S6:S24" si="5">C6+K6</f>
        <v>8669528</v>
      </c>
      <c r="T6" s="24">
        <f t="shared" ref="T6:T24" si="6">D6+L6</f>
        <v>614800</v>
      </c>
      <c r="U6" s="24">
        <f t="shared" ref="U6:U24" si="7">E6+M6</f>
        <v>86681712</v>
      </c>
      <c r="V6" s="24">
        <f t="shared" ref="V6:V24" si="8">F6+N6</f>
        <v>218360</v>
      </c>
      <c r="W6" s="24">
        <f t="shared" ref="W6:W24" si="9">G6+O6</f>
        <v>0</v>
      </c>
      <c r="X6" s="25">
        <f>SUM(R6:W6)</f>
        <v>110868792</v>
      </c>
      <c r="Y6" s="26"/>
      <c r="Z6" s="15">
        <f>B6*0.06</f>
        <v>440531.76</v>
      </c>
      <c r="AA6" s="15">
        <f>C6*0.06</f>
        <v>260085.84</v>
      </c>
      <c r="AB6" s="15">
        <f>D6*0.06</f>
        <v>18444</v>
      </c>
      <c r="AC6" s="15">
        <f>E6*0.06</f>
        <v>2600451.36</v>
      </c>
      <c r="AD6" s="15">
        <f>F6*0.06</f>
        <v>6550.8</v>
      </c>
      <c r="AE6" s="15">
        <v>0</v>
      </c>
      <c r="AF6" s="15">
        <f t="shared" ref="AF6:AF24" si="10">SUM(Z6:AE6)</f>
        <v>3326063.76</v>
      </c>
      <c r="AG6" s="27"/>
      <c r="AH6" s="15"/>
      <c r="AI6" s="15"/>
      <c r="AJ6" s="15"/>
      <c r="AK6" s="15"/>
      <c r="AL6" s="15"/>
      <c r="AM6" s="15"/>
      <c r="AN6" s="15">
        <f t="shared" ref="AN6:AN24" si="11">SUM(AH6:AM6)</f>
        <v>0</v>
      </c>
      <c r="AO6" s="27"/>
      <c r="AP6" s="27">
        <v>250584</v>
      </c>
      <c r="AQ6" s="27">
        <v>96672</v>
      </c>
      <c r="AR6" s="27"/>
      <c r="AS6" s="27"/>
      <c r="AT6" s="27"/>
      <c r="AU6" s="27"/>
      <c r="AV6" s="15">
        <f t="shared" ref="AV6:AV24" si="12">SUM(AP6:AU6)</f>
        <v>347256</v>
      </c>
      <c r="AW6" s="27"/>
      <c r="AX6" s="27">
        <f t="shared" ref="AX6:AX24" si="13">R6+Z6+AH6+AP6</f>
        <v>15375507.76</v>
      </c>
      <c r="AY6" s="27">
        <f t="shared" ref="AY6:AY24" si="14">C6+AA6+AI6+AQ6</f>
        <v>4691521.84</v>
      </c>
      <c r="AZ6" s="27">
        <f t="shared" ref="AZ6:AZ24" si="15">D6+AB6+AJ6+AR6</f>
        <v>325844</v>
      </c>
      <c r="BA6" s="27">
        <f t="shared" ref="BA6:BA24" si="16">E6+AC6+AK6+AS6</f>
        <v>45941307.359999999</v>
      </c>
      <c r="BB6" s="27">
        <f t="shared" ref="BB6:BB24" si="17">F6+AD6+AL6+AT6</f>
        <v>115730.8</v>
      </c>
      <c r="BC6" s="27">
        <f t="shared" ref="BC6:BC24" si="18">G6+AE6+AM6+AU6</f>
        <v>0</v>
      </c>
      <c r="BD6" s="15">
        <f t="shared" ref="BD6:BD23" si="19">SUM(AX6:BC6)</f>
        <v>66449911.759999998</v>
      </c>
      <c r="BE6" s="26"/>
      <c r="BF6" s="13">
        <f t="shared" ref="BF6:BF24" si="20">AX6-R6</f>
        <v>691115.75999999978</v>
      </c>
      <c r="BG6" s="13">
        <f t="shared" ref="BG6:BG24" si="21">AY6-S6</f>
        <v>-3978006.16</v>
      </c>
      <c r="BH6" s="13">
        <f t="shared" ref="BH6:BH24" si="22">AZ6-T6</f>
        <v>-288956</v>
      </c>
      <c r="BI6" s="13">
        <f t="shared" ref="BI6:BI24" si="23">BA6-U6</f>
        <v>-40740404.640000001</v>
      </c>
      <c r="BJ6" s="13">
        <f t="shared" ref="BJ6:BJ24" si="24">BB6-V6</f>
        <v>-102629.2</v>
      </c>
      <c r="BK6" s="13">
        <f t="shared" ref="BK6:BK24" si="25">BC6-W6</f>
        <v>0</v>
      </c>
      <c r="BL6" s="13">
        <f t="shared" ref="BL6:BL24" si="26">SUM(BF6:BK6)</f>
        <v>-44418880.240000002</v>
      </c>
      <c r="BM6" s="26"/>
      <c r="BN6" s="28">
        <f t="shared" ref="BN6:BN24" si="27">IFERROR(BF6/R6,)</f>
        <v>4.7064649322900109E-2</v>
      </c>
      <c r="BO6" s="28">
        <f t="shared" ref="BO6:BO24" si="28">IFERROR(BG6/S6,)</f>
        <v>-0.45884921993446476</v>
      </c>
      <c r="BP6" s="28">
        <f t="shared" ref="BP6:BP24" si="29">IFERROR(BH6/T6,)</f>
        <v>-0.47</v>
      </c>
      <c r="BQ6" s="28">
        <f t="shared" ref="BQ6:BQ24" si="30">IFERROR(BI6/U6,)</f>
        <v>-0.47000000000000003</v>
      </c>
      <c r="BR6" s="28">
        <f t="shared" ref="BR6:BR24" si="31">IFERROR(BJ6/V6,)</f>
        <v>-0.47</v>
      </c>
      <c r="BS6" s="28">
        <f t="shared" ref="BS6:BS24" si="32">IFERROR(BK6/W6,)</f>
        <v>0</v>
      </c>
      <c r="BT6" s="28">
        <f t="shared" ref="BT6:BT24" si="33">IFERROR(BL6/X6,)</f>
        <v>-0.40064367473220058</v>
      </c>
    </row>
    <row r="7" spans="1:72" x14ac:dyDescent="0.35">
      <c r="A7" t="s">
        <v>12</v>
      </c>
      <c r="B7" s="25">
        <f>3770040-211425.129932398</f>
        <v>3558614.870067602</v>
      </c>
      <c r="C7" s="25">
        <f>2075640-114709.379005876</f>
        <v>1960930.6209941241</v>
      </c>
      <c r="D7" s="25">
        <f>376200-32686.7252291364</f>
        <v>343513.27477086359</v>
      </c>
      <c r="E7" s="25">
        <f>7709520-411604.242315201</f>
        <v>7297915.7576847989</v>
      </c>
      <c r="F7" s="25">
        <v>68400</v>
      </c>
      <c r="G7" s="24">
        <v>0</v>
      </c>
      <c r="H7" s="25">
        <f t="shared" ref="H7:H23" si="34">SUM(B7:G7)</f>
        <v>13229374.523517389</v>
      </c>
      <c r="I7" s="25"/>
      <c r="J7" s="25">
        <f>3770040-211425.129932398</f>
        <v>3558614.870067602</v>
      </c>
      <c r="K7" s="25">
        <f>2075640-114709.379005876</f>
        <v>1960930.6209941241</v>
      </c>
      <c r="L7" s="25">
        <f>376200-32686.7252291364</f>
        <v>343513.27477086359</v>
      </c>
      <c r="M7" s="25">
        <f>7709520-411604.242315201</f>
        <v>7297915.7576847989</v>
      </c>
      <c r="N7" s="25">
        <v>68400</v>
      </c>
      <c r="O7" s="24">
        <v>0</v>
      </c>
      <c r="P7" s="25">
        <f t="shared" ref="P7:P23" si="35">SUM(J7:O7)</f>
        <v>13229374.523517389</v>
      </c>
      <c r="Q7" s="26"/>
      <c r="R7" s="24">
        <f t="shared" si="4"/>
        <v>7117229.740135204</v>
      </c>
      <c r="S7" s="24">
        <f t="shared" si="5"/>
        <v>3921861.2419882482</v>
      </c>
      <c r="T7" s="24">
        <f t="shared" si="6"/>
        <v>687026.54954172717</v>
      </c>
      <c r="U7" s="24">
        <f t="shared" si="7"/>
        <v>14595831.515369598</v>
      </c>
      <c r="V7" s="24">
        <f t="shared" si="8"/>
        <v>136800</v>
      </c>
      <c r="W7" s="24">
        <f t="shared" si="9"/>
        <v>0</v>
      </c>
      <c r="X7" s="25">
        <f t="shared" ref="X7:X23" si="36">SUM(R7:W7)</f>
        <v>26458749.047034778</v>
      </c>
      <c r="Y7" s="26"/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f t="shared" si="10"/>
        <v>0</v>
      </c>
      <c r="AG7" s="27"/>
      <c r="AH7" s="15"/>
      <c r="AI7" s="15"/>
      <c r="AJ7" s="15"/>
      <c r="AK7" s="15"/>
      <c r="AL7" s="15"/>
      <c r="AM7" s="15"/>
      <c r="AN7" s="15">
        <f t="shared" si="11"/>
        <v>0</v>
      </c>
      <c r="AO7" s="27"/>
      <c r="AP7" s="27">
        <v>127080</v>
      </c>
      <c r="AQ7" s="27">
        <v>42360</v>
      </c>
      <c r="AR7" s="27"/>
      <c r="AS7" s="27"/>
      <c r="AT7" s="27"/>
      <c r="AU7" s="27"/>
      <c r="AV7" s="15">
        <f t="shared" si="12"/>
        <v>169440</v>
      </c>
      <c r="AW7" s="27"/>
      <c r="AX7" s="27">
        <f t="shared" si="13"/>
        <v>7244309.740135204</v>
      </c>
      <c r="AY7" s="27">
        <f t="shared" si="14"/>
        <v>2003290.6209941241</v>
      </c>
      <c r="AZ7" s="27">
        <f t="shared" si="15"/>
        <v>343513.27477086359</v>
      </c>
      <c r="BA7" s="27">
        <f t="shared" si="16"/>
        <v>7297915.7576847989</v>
      </c>
      <c r="BB7" s="27">
        <f t="shared" si="17"/>
        <v>68400</v>
      </c>
      <c r="BC7" s="27">
        <f t="shared" si="18"/>
        <v>0</v>
      </c>
      <c r="BD7" s="15">
        <f t="shared" si="19"/>
        <v>16957429.393584989</v>
      </c>
      <c r="BE7" s="26"/>
      <c r="BF7" s="13">
        <f t="shared" si="20"/>
        <v>127080</v>
      </c>
      <c r="BG7" s="13">
        <f t="shared" si="21"/>
        <v>-1918570.6209941241</v>
      </c>
      <c r="BH7" s="13">
        <f t="shared" si="22"/>
        <v>-343513.27477086359</v>
      </c>
      <c r="BI7" s="13">
        <f t="shared" si="23"/>
        <v>-7297915.7576847989</v>
      </c>
      <c r="BJ7" s="13">
        <f t="shared" si="24"/>
        <v>-68400</v>
      </c>
      <c r="BK7" s="13">
        <f t="shared" si="25"/>
        <v>0</v>
      </c>
      <c r="BL7" s="13">
        <f t="shared" si="26"/>
        <v>-9501319.6534497868</v>
      </c>
      <c r="BM7" s="26"/>
      <c r="BN7" s="28">
        <f t="shared" si="27"/>
        <v>1.785526175772793E-2</v>
      </c>
      <c r="BO7" s="28">
        <f t="shared" si="28"/>
        <v>-0.48919900593460952</v>
      </c>
      <c r="BP7" s="28">
        <f t="shared" si="29"/>
        <v>-0.5</v>
      </c>
      <c r="BQ7" s="28">
        <f t="shared" si="30"/>
        <v>-0.5</v>
      </c>
      <c r="BR7" s="28">
        <f t="shared" si="31"/>
        <v>-0.5</v>
      </c>
      <c r="BS7" s="28">
        <f t="shared" si="32"/>
        <v>0</v>
      </c>
      <c r="BT7" s="28">
        <f t="shared" si="33"/>
        <v>-0.35909935260203074</v>
      </c>
    </row>
    <row r="8" spans="1:72" x14ac:dyDescent="0.35">
      <c r="A8" t="s">
        <v>13</v>
      </c>
      <c r="B8" s="25">
        <f>213600-11978.7609026855</f>
        <v>201621.23909731451</v>
      </c>
      <c r="C8" s="25">
        <f>117600-6499.11495783998</f>
        <v>111100.88504216002</v>
      </c>
      <c r="D8" s="25">
        <f>13200-1146.90263961882</f>
        <v>12053.09736038118</v>
      </c>
      <c r="E8" s="25">
        <f>436800-23320.3536722493</f>
        <v>413479.6463277507</v>
      </c>
      <c r="F8" s="25">
        <v>2400</v>
      </c>
      <c r="G8" s="24">
        <v>0</v>
      </c>
      <c r="H8" s="25">
        <f t="shared" si="34"/>
        <v>740654.86782760639</v>
      </c>
      <c r="I8" s="25"/>
      <c r="J8" s="25">
        <f>213600-11978.7609026855</f>
        <v>201621.23909731451</v>
      </c>
      <c r="K8" s="25">
        <f>117600-6499.11495783998</f>
        <v>111100.88504216002</v>
      </c>
      <c r="L8" s="25">
        <f>13200-1146.90263961882</f>
        <v>12053.09736038118</v>
      </c>
      <c r="M8" s="25">
        <f>436800-23320.3536722493</f>
        <v>413479.6463277507</v>
      </c>
      <c r="N8" s="25">
        <v>2400</v>
      </c>
      <c r="O8" s="24">
        <v>0</v>
      </c>
      <c r="P8" s="25">
        <f t="shared" si="35"/>
        <v>740654.86782760639</v>
      </c>
      <c r="Q8" s="26"/>
      <c r="R8" s="24">
        <f t="shared" si="4"/>
        <v>403242.47819462902</v>
      </c>
      <c r="S8" s="24">
        <f t="shared" si="5"/>
        <v>222201.77008432004</v>
      </c>
      <c r="T8" s="24">
        <f t="shared" si="6"/>
        <v>24106.19472076236</v>
      </c>
      <c r="U8" s="24">
        <f t="shared" si="7"/>
        <v>826959.2926555014</v>
      </c>
      <c r="V8" s="24">
        <f t="shared" si="8"/>
        <v>4800</v>
      </c>
      <c r="W8" s="24">
        <f t="shared" si="9"/>
        <v>0</v>
      </c>
      <c r="X8" s="25">
        <f t="shared" si="36"/>
        <v>1481309.7356552128</v>
      </c>
      <c r="Y8" s="26"/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f t="shared" si="10"/>
        <v>0</v>
      </c>
      <c r="AG8" s="27"/>
      <c r="AH8" s="15"/>
      <c r="AI8" s="15"/>
      <c r="AJ8" s="15"/>
      <c r="AK8" s="15"/>
      <c r="AL8" s="15"/>
      <c r="AM8" s="15"/>
      <c r="AN8" s="15">
        <f t="shared" si="11"/>
        <v>0</v>
      </c>
      <c r="AO8" s="27"/>
      <c r="AP8" s="27">
        <v>7200</v>
      </c>
      <c r="AQ8" s="27">
        <v>2400</v>
      </c>
      <c r="AR8" s="27"/>
      <c r="AS8" s="27"/>
      <c r="AT8" s="27"/>
      <c r="AU8" s="27"/>
      <c r="AV8" s="15">
        <f t="shared" si="12"/>
        <v>9600</v>
      </c>
      <c r="AW8" s="27"/>
      <c r="AX8" s="27">
        <f t="shared" si="13"/>
        <v>410442.47819462902</v>
      </c>
      <c r="AY8" s="27">
        <f t="shared" si="14"/>
        <v>113500.88504216002</v>
      </c>
      <c r="AZ8" s="27">
        <f t="shared" si="15"/>
        <v>12053.09736038118</v>
      </c>
      <c r="BA8" s="27">
        <f t="shared" si="16"/>
        <v>413479.6463277507</v>
      </c>
      <c r="BB8" s="27">
        <f t="shared" si="17"/>
        <v>2400</v>
      </c>
      <c r="BC8" s="27">
        <f t="shared" si="18"/>
        <v>0</v>
      </c>
      <c r="BD8" s="15">
        <f t="shared" si="19"/>
        <v>951876.10692492081</v>
      </c>
      <c r="BE8" s="26"/>
      <c r="BF8" s="13">
        <f t="shared" si="20"/>
        <v>7200</v>
      </c>
      <c r="BG8" s="13">
        <f t="shared" si="21"/>
        <v>-108700.88504216002</v>
      </c>
      <c r="BH8" s="13">
        <f t="shared" si="22"/>
        <v>-12053.09736038118</v>
      </c>
      <c r="BI8" s="13">
        <f t="shared" si="23"/>
        <v>-413479.6463277507</v>
      </c>
      <c r="BJ8" s="13">
        <f t="shared" si="24"/>
        <v>-2400</v>
      </c>
      <c r="BK8" s="13">
        <f t="shared" si="25"/>
        <v>0</v>
      </c>
      <c r="BL8" s="13">
        <f t="shared" si="26"/>
        <v>-529433.62873029197</v>
      </c>
      <c r="BM8" s="26"/>
      <c r="BN8" s="28">
        <f t="shared" si="27"/>
        <v>1.7855261757727933E-2</v>
      </c>
      <c r="BO8" s="28">
        <f t="shared" si="28"/>
        <v>-0.48919900593460952</v>
      </c>
      <c r="BP8" s="28">
        <f t="shared" si="29"/>
        <v>-0.5</v>
      </c>
      <c r="BQ8" s="28">
        <f t="shared" si="30"/>
        <v>-0.5</v>
      </c>
      <c r="BR8" s="28">
        <f t="shared" si="31"/>
        <v>-0.5</v>
      </c>
      <c r="BS8" s="28">
        <f t="shared" si="32"/>
        <v>0</v>
      </c>
      <c r="BT8" s="28">
        <f t="shared" si="33"/>
        <v>-0.35740913327361135</v>
      </c>
    </row>
    <row r="9" spans="1:72" x14ac:dyDescent="0.35">
      <c r="A9" t="s">
        <v>14</v>
      </c>
      <c r="B9" s="25">
        <f>999810-60414.243444561</f>
        <v>939395.75655543897</v>
      </c>
      <c r="C9" s="25">
        <f>569400-33727.762383437</f>
        <v>535672.23761656298</v>
      </c>
      <c r="D9" s="25">
        <f>87000-8763.29191888747</f>
        <v>78236.708081112534</v>
      </c>
      <c r="E9" s="25">
        <f>3123240-180720.76219903</f>
        <v>2942519.2378009702</v>
      </c>
      <c r="F9" s="25">
        <v>30900</v>
      </c>
      <c r="G9" s="24">
        <v>0</v>
      </c>
      <c r="H9" s="25">
        <f t="shared" si="34"/>
        <v>4526723.9400540851</v>
      </c>
      <c r="I9" s="25"/>
      <c r="J9" s="25">
        <f>999810-60414.243444561</f>
        <v>939395.75655543897</v>
      </c>
      <c r="K9" s="25">
        <f>569400-33727.762383437</f>
        <v>535672.23761656298</v>
      </c>
      <c r="L9" s="25">
        <f>87000-8763.29191888747</f>
        <v>78236.708081112534</v>
      </c>
      <c r="M9" s="25">
        <f>3123240-180720.76219903</f>
        <v>2942519.2378009702</v>
      </c>
      <c r="N9" s="25">
        <v>30900</v>
      </c>
      <c r="O9" s="24">
        <v>0</v>
      </c>
      <c r="P9" s="25">
        <f t="shared" si="35"/>
        <v>4526723.9400540851</v>
      </c>
      <c r="Q9" s="26"/>
      <c r="R9" s="24">
        <f t="shared" si="4"/>
        <v>1878791.5131108779</v>
      </c>
      <c r="S9" s="24">
        <f t="shared" si="5"/>
        <v>1071344.475233126</v>
      </c>
      <c r="T9" s="24">
        <f t="shared" si="6"/>
        <v>156473.41616222507</v>
      </c>
      <c r="U9" s="24">
        <f t="shared" si="7"/>
        <v>5885038.4756019404</v>
      </c>
      <c r="V9" s="24">
        <f t="shared" si="8"/>
        <v>61800</v>
      </c>
      <c r="W9" s="24">
        <f t="shared" si="9"/>
        <v>0</v>
      </c>
      <c r="X9" s="25">
        <f t="shared" si="36"/>
        <v>9053447.8801081702</v>
      </c>
      <c r="Y9" s="26"/>
      <c r="Z9" s="15"/>
      <c r="AA9" s="15"/>
      <c r="AB9" s="15"/>
      <c r="AC9" s="15"/>
      <c r="AD9" s="15"/>
      <c r="AE9" s="15"/>
      <c r="AF9" s="15">
        <f t="shared" si="10"/>
        <v>0</v>
      </c>
      <c r="AG9" s="27"/>
      <c r="AH9" s="15"/>
      <c r="AI9" s="15"/>
      <c r="AJ9" s="15"/>
      <c r="AK9" s="15"/>
      <c r="AL9" s="15"/>
      <c r="AM9" s="15"/>
      <c r="AN9" s="15">
        <f t="shared" si="11"/>
        <v>0</v>
      </c>
      <c r="AO9" s="27"/>
      <c r="AP9" s="27">
        <v>37587.600000000006</v>
      </c>
      <c r="AQ9" s="27">
        <v>14500.800000000001</v>
      </c>
      <c r="AR9" s="27"/>
      <c r="AS9" s="27"/>
      <c r="AT9" s="27"/>
      <c r="AU9" s="27"/>
      <c r="AV9" s="15">
        <f t="shared" si="12"/>
        <v>52088.400000000009</v>
      </c>
      <c r="AW9" s="27"/>
      <c r="AX9" s="27">
        <f t="shared" si="13"/>
        <v>1916379.113110878</v>
      </c>
      <c r="AY9" s="27">
        <f t="shared" si="14"/>
        <v>550173.03761656303</v>
      </c>
      <c r="AZ9" s="27">
        <f t="shared" si="15"/>
        <v>78236.708081112534</v>
      </c>
      <c r="BA9" s="27">
        <f t="shared" si="16"/>
        <v>2942519.2378009702</v>
      </c>
      <c r="BB9" s="27">
        <f t="shared" si="17"/>
        <v>30900</v>
      </c>
      <c r="BC9" s="27">
        <f t="shared" si="18"/>
        <v>0</v>
      </c>
      <c r="BD9" s="15">
        <f t="shared" si="19"/>
        <v>5518208.0966095235</v>
      </c>
      <c r="BE9" s="26"/>
      <c r="BF9" s="13">
        <f t="shared" si="20"/>
        <v>37587.600000000093</v>
      </c>
      <c r="BG9" s="13">
        <f t="shared" si="21"/>
        <v>-521171.43761656294</v>
      </c>
      <c r="BH9" s="13">
        <f t="shared" si="22"/>
        <v>-78236.708081112534</v>
      </c>
      <c r="BI9" s="13">
        <f t="shared" si="23"/>
        <v>-2942519.2378009702</v>
      </c>
      <c r="BJ9" s="13">
        <f t="shared" si="24"/>
        <v>-30900</v>
      </c>
      <c r="BK9" s="13">
        <f t="shared" si="25"/>
        <v>0</v>
      </c>
      <c r="BL9" s="13">
        <f t="shared" si="26"/>
        <v>-3535239.7834986458</v>
      </c>
      <c r="BM9" s="26"/>
      <c r="BN9" s="28">
        <f t="shared" si="27"/>
        <v>2.0006264525733911E-2</v>
      </c>
      <c r="BO9" s="28">
        <f t="shared" si="28"/>
        <v>-0.48646485762962033</v>
      </c>
      <c r="BP9" s="28">
        <f t="shared" si="29"/>
        <v>-0.5</v>
      </c>
      <c r="BQ9" s="28">
        <f t="shared" si="30"/>
        <v>-0.5</v>
      </c>
      <c r="BR9" s="28">
        <f t="shared" si="31"/>
        <v>-0.5</v>
      </c>
      <c r="BS9" s="28">
        <f t="shared" si="32"/>
        <v>0</v>
      </c>
      <c r="BT9" s="28">
        <f t="shared" si="33"/>
        <v>-0.39048546259001682</v>
      </c>
    </row>
    <row r="10" spans="1:72" x14ac:dyDescent="0.35">
      <c r="A10" s="39" t="s">
        <v>38</v>
      </c>
      <c r="B10" s="25"/>
      <c r="C10" s="25"/>
      <c r="D10" s="25"/>
      <c r="E10" s="25"/>
      <c r="F10" s="25"/>
      <c r="G10" s="24"/>
      <c r="H10" s="25"/>
      <c r="I10" s="25"/>
      <c r="J10" s="25"/>
      <c r="K10" s="25"/>
      <c r="L10" s="25"/>
      <c r="M10" s="25"/>
      <c r="N10" s="25"/>
      <c r="O10" s="24"/>
      <c r="P10" s="25"/>
      <c r="Q10" s="26"/>
      <c r="R10" s="24"/>
      <c r="S10" s="24"/>
      <c r="T10" s="24"/>
      <c r="U10" s="24"/>
      <c r="V10" s="24"/>
      <c r="W10" s="24"/>
      <c r="X10" s="25"/>
      <c r="Y10" s="26"/>
      <c r="Z10" s="15"/>
      <c r="AA10" s="15"/>
      <c r="AB10" s="15"/>
      <c r="AC10" s="15"/>
      <c r="AD10" s="15"/>
      <c r="AE10" s="15"/>
      <c r="AF10" s="15"/>
      <c r="AG10" s="27"/>
      <c r="AH10" s="15"/>
      <c r="AI10" s="15"/>
      <c r="AJ10" s="15"/>
      <c r="AK10" s="15"/>
      <c r="AL10" s="15"/>
      <c r="AM10" s="15"/>
      <c r="AN10" s="15"/>
      <c r="AO10" s="27"/>
      <c r="AP10" s="27"/>
      <c r="AQ10" s="27"/>
      <c r="AR10" s="27"/>
      <c r="AS10" s="27"/>
      <c r="AT10" s="27"/>
      <c r="AU10" s="27"/>
      <c r="AV10" s="15"/>
      <c r="AW10" s="27"/>
      <c r="AX10" s="27"/>
      <c r="AY10" s="27"/>
      <c r="AZ10" s="27"/>
      <c r="BA10" s="27"/>
      <c r="BB10" s="27"/>
      <c r="BC10" s="27"/>
      <c r="BD10" s="15"/>
      <c r="BE10" s="26"/>
      <c r="BF10" s="13"/>
      <c r="BG10" s="13"/>
      <c r="BH10" s="13"/>
      <c r="BI10" s="13"/>
      <c r="BJ10" s="13"/>
      <c r="BK10" s="13"/>
      <c r="BL10" s="13"/>
      <c r="BM10" s="26"/>
      <c r="BN10" s="28"/>
      <c r="BO10" s="28"/>
      <c r="BP10" s="28"/>
      <c r="BQ10" s="28"/>
      <c r="BR10" s="28"/>
      <c r="BS10" s="28"/>
      <c r="BT10" s="28"/>
    </row>
    <row r="11" spans="1:72" x14ac:dyDescent="0.35">
      <c r="A11" t="s">
        <v>8</v>
      </c>
      <c r="B11" s="25">
        <v>0</v>
      </c>
      <c r="C11" s="25">
        <v>0</v>
      </c>
      <c r="D11" s="25">
        <v>0</v>
      </c>
      <c r="E11" s="25">
        <v>4519076.3499999996</v>
      </c>
      <c r="F11" s="25">
        <v>0</v>
      </c>
      <c r="G11" s="24">
        <v>0</v>
      </c>
      <c r="H11" s="25">
        <f>SUM(B11:G11)</f>
        <v>4519076.3499999996</v>
      </c>
      <c r="I11" s="25"/>
      <c r="J11" s="25">
        <v>0</v>
      </c>
      <c r="K11" s="25">
        <v>0</v>
      </c>
      <c r="L11" s="25">
        <v>0</v>
      </c>
      <c r="M11" s="25">
        <v>4519076.3499999996</v>
      </c>
      <c r="N11" s="25">
        <v>0</v>
      </c>
      <c r="O11" s="24">
        <v>0</v>
      </c>
      <c r="P11" s="25">
        <f>SUM(J11:O11)</f>
        <v>4519076.3499999996</v>
      </c>
      <c r="Q11" s="26"/>
      <c r="R11" s="24">
        <f t="shared" ref="R11:W14" si="37">B11+J11</f>
        <v>0</v>
      </c>
      <c r="S11" s="24">
        <f t="shared" si="37"/>
        <v>0</v>
      </c>
      <c r="T11" s="24">
        <f t="shared" si="37"/>
        <v>0</v>
      </c>
      <c r="U11" s="24">
        <f t="shared" si="37"/>
        <v>9038152.6999999993</v>
      </c>
      <c r="V11" s="24">
        <f t="shared" si="37"/>
        <v>0</v>
      </c>
      <c r="W11" s="24">
        <f t="shared" si="37"/>
        <v>0</v>
      </c>
      <c r="X11" s="25">
        <f>SUM(R11:W11)</f>
        <v>9038152.6999999993</v>
      </c>
      <c r="Y11" s="26"/>
      <c r="Z11" s="15"/>
      <c r="AA11" s="15"/>
      <c r="AB11" s="15"/>
      <c r="AC11" s="15"/>
      <c r="AD11" s="15"/>
      <c r="AE11" s="15"/>
      <c r="AF11" s="15">
        <f>SUM(Z11:AE11)</f>
        <v>0</v>
      </c>
      <c r="AG11" s="27"/>
      <c r="AH11" s="15"/>
      <c r="AI11" s="15"/>
      <c r="AJ11" s="15"/>
      <c r="AK11" s="15"/>
      <c r="AL11" s="15"/>
      <c r="AM11" s="15"/>
      <c r="AN11" s="15">
        <f>SUM(AH11:AM11)</f>
        <v>0</v>
      </c>
      <c r="AO11" s="27"/>
      <c r="AP11" s="27"/>
      <c r="AQ11" s="27"/>
      <c r="AR11" s="27"/>
      <c r="AS11" s="27"/>
      <c r="AT11" s="27"/>
      <c r="AU11" s="27"/>
      <c r="AV11" s="15">
        <f>SUM(AP11:AU11)</f>
        <v>0</v>
      </c>
      <c r="AW11" s="27"/>
      <c r="AX11" s="27">
        <f>R11+Z11+AH11+AP11</f>
        <v>0</v>
      </c>
      <c r="AY11" s="27">
        <f t="shared" ref="AY11:BC14" si="38">C11+AA11+AI11+AQ11</f>
        <v>0</v>
      </c>
      <c r="AZ11" s="27">
        <f t="shared" si="38"/>
        <v>0</v>
      </c>
      <c r="BA11" s="27">
        <f t="shared" si="38"/>
        <v>4519076.3499999996</v>
      </c>
      <c r="BB11" s="27">
        <f t="shared" si="38"/>
        <v>0</v>
      </c>
      <c r="BC11" s="27">
        <f t="shared" si="38"/>
        <v>0</v>
      </c>
      <c r="BD11" s="15">
        <f>SUM(AX11:BC11)</f>
        <v>4519076.3499999996</v>
      </c>
      <c r="BE11" s="26"/>
      <c r="BF11" s="13">
        <f t="shared" ref="BF11:BK14" si="39">AX11-R11</f>
        <v>0</v>
      </c>
      <c r="BG11" s="13">
        <f t="shared" si="39"/>
        <v>0</v>
      </c>
      <c r="BH11" s="13">
        <f t="shared" si="39"/>
        <v>0</v>
      </c>
      <c r="BI11" s="13">
        <f t="shared" si="39"/>
        <v>-4519076.3499999996</v>
      </c>
      <c r="BJ11" s="13">
        <f t="shared" si="39"/>
        <v>0</v>
      </c>
      <c r="BK11" s="13">
        <f t="shared" si="39"/>
        <v>0</v>
      </c>
      <c r="BL11" s="13">
        <f>SUM(BF11:BK11)</f>
        <v>-4519076.3499999996</v>
      </c>
      <c r="BM11" s="26"/>
      <c r="BN11" s="28">
        <f t="shared" ref="BN11:BT14" si="40">IFERROR(BF11/R11,)</f>
        <v>0</v>
      </c>
      <c r="BO11" s="28">
        <f t="shared" si="40"/>
        <v>0</v>
      </c>
      <c r="BP11" s="28">
        <f t="shared" si="40"/>
        <v>0</v>
      </c>
      <c r="BQ11" s="28">
        <f t="shared" si="40"/>
        <v>-0.5</v>
      </c>
      <c r="BR11" s="28">
        <f t="shared" si="40"/>
        <v>0</v>
      </c>
      <c r="BS11" s="28">
        <f t="shared" si="40"/>
        <v>0</v>
      </c>
      <c r="BT11" s="28">
        <f t="shared" si="40"/>
        <v>-0.5</v>
      </c>
    </row>
    <row r="12" spans="1:72" x14ac:dyDescent="0.35">
      <c r="A12" t="s">
        <v>9</v>
      </c>
      <c r="B12" s="25">
        <v>85000</v>
      </c>
      <c r="C12" s="25">
        <v>98000</v>
      </c>
      <c r="D12" s="25">
        <v>12000</v>
      </c>
      <c r="E12" s="25">
        <v>350000</v>
      </c>
      <c r="F12" s="25">
        <v>10000</v>
      </c>
      <c r="G12" s="24">
        <v>0</v>
      </c>
      <c r="H12" s="25">
        <f>SUM(B12:G12)</f>
        <v>555000</v>
      </c>
      <c r="I12" s="25"/>
      <c r="J12" s="25">
        <v>85000</v>
      </c>
      <c r="K12" s="25">
        <v>98000</v>
      </c>
      <c r="L12" s="25">
        <v>12000</v>
      </c>
      <c r="M12" s="25">
        <v>350000</v>
      </c>
      <c r="N12" s="25">
        <v>10000</v>
      </c>
      <c r="O12" s="24">
        <v>0</v>
      </c>
      <c r="P12" s="25">
        <f>SUM(J12:O12)</f>
        <v>555000</v>
      </c>
      <c r="Q12" s="26"/>
      <c r="R12" s="24">
        <f t="shared" si="37"/>
        <v>170000</v>
      </c>
      <c r="S12" s="24">
        <f t="shared" si="37"/>
        <v>196000</v>
      </c>
      <c r="T12" s="24">
        <f t="shared" si="37"/>
        <v>24000</v>
      </c>
      <c r="U12" s="24">
        <f t="shared" si="37"/>
        <v>700000</v>
      </c>
      <c r="V12" s="24">
        <f t="shared" si="37"/>
        <v>20000</v>
      </c>
      <c r="W12" s="24">
        <f t="shared" si="37"/>
        <v>0</v>
      </c>
      <c r="X12" s="25">
        <f>SUM(R12:W12)</f>
        <v>1110000</v>
      </c>
      <c r="Y12" s="26"/>
      <c r="Z12" s="15"/>
      <c r="AA12" s="15"/>
      <c r="AB12" s="15"/>
      <c r="AC12" s="15"/>
      <c r="AD12" s="15"/>
      <c r="AE12" s="15"/>
      <c r="AF12" s="15">
        <f>SUM(Z12:AE12)</f>
        <v>0</v>
      </c>
      <c r="AG12" s="27"/>
      <c r="AH12" s="15"/>
      <c r="AI12" s="15"/>
      <c r="AJ12" s="15"/>
      <c r="AK12" s="15"/>
      <c r="AL12" s="15"/>
      <c r="AM12" s="15"/>
      <c r="AN12" s="15">
        <f>SUM(AH12:AM12)</f>
        <v>0</v>
      </c>
      <c r="AO12" s="27"/>
      <c r="AP12" s="27"/>
      <c r="AQ12" s="27"/>
      <c r="AR12" s="27"/>
      <c r="AS12" s="27"/>
      <c r="AT12" s="27"/>
      <c r="AU12" s="27"/>
      <c r="AV12" s="15">
        <f>SUM(AP12:AU12)</f>
        <v>0</v>
      </c>
      <c r="AW12" s="27"/>
      <c r="AX12" s="27">
        <f>R12+Z12+AH12+AP12</f>
        <v>170000</v>
      </c>
      <c r="AY12" s="27">
        <f t="shared" si="38"/>
        <v>98000</v>
      </c>
      <c r="AZ12" s="27">
        <f t="shared" si="38"/>
        <v>12000</v>
      </c>
      <c r="BA12" s="27">
        <f t="shared" si="38"/>
        <v>350000</v>
      </c>
      <c r="BB12" s="27">
        <f t="shared" si="38"/>
        <v>10000</v>
      </c>
      <c r="BC12" s="27">
        <f t="shared" si="38"/>
        <v>0</v>
      </c>
      <c r="BD12" s="15">
        <f>SUM(AX12:BC12)</f>
        <v>640000</v>
      </c>
      <c r="BE12" s="26"/>
      <c r="BF12" s="13">
        <f t="shared" si="39"/>
        <v>0</v>
      </c>
      <c r="BG12" s="13">
        <f t="shared" si="39"/>
        <v>-98000</v>
      </c>
      <c r="BH12" s="13">
        <f t="shared" si="39"/>
        <v>-12000</v>
      </c>
      <c r="BI12" s="13">
        <f t="shared" si="39"/>
        <v>-350000</v>
      </c>
      <c r="BJ12" s="13">
        <f t="shared" si="39"/>
        <v>-10000</v>
      </c>
      <c r="BK12" s="13">
        <f t="shared" si="39"/>
        <v>0</v>
      </c>
      <c r="BL12" s="13">
        <f>SUM(BF12:BK12)</f>
        <v>-470000</v>
      </c>
      <c r="BM12" s="26"/>
      <c r="BN12" s="28">
        <f t="shared" si="40"/>
        <v>0</v>
      </c>
      <c r="BO12" s="28">
        <f t="shared" si="40"/>
        <v>-0.5</v>
      </c>
      <c r="BP12" s="28">
        <f t="shared" si="40"/>
        <v>-0.5</v>
      </c>
      <c r="BQ12" s="28">
        <f t="shared" si="40"/>
        <v>-0.5</v>
      </c>
      <c r="BR12" s="28">
        <f t="shared" si="40"/>
        <v>-0.5</v>
      </c>
      <c r="BS12" s="28">
        <f t="shared" si="40"/>
        <v>0</v>
      </c>
      <c r="BT12" s="28">
        <f t="shared" si="40"/>
        <v>-0.42342342342342343</v>
      </c>
    </row>
    <row r="13" spans="1:72" x14ac:dyDescent="0.35">
      <c r="A13" t="s">
        <v>10</v>
      </c>
      <c r="B13" s="25">
        <v>879324.34799999953</v>
      </c>
      <c r="C13" s="25">
        <v>373746.20400000003</v>
      </c>
      <c r="D13" s="25">
        <v>34800</v>
      </c>
      <c r="E13" s="25">
        <v>647393.69999999995</v>
      </c>
      <c r="F13" s="25">
        <v>12360</v>
      </c>
      <c r="G13" s="24">
        <v>0</v>
      </c>
      <c r="H13" s="25">
        <f>SUM(B13:G13)</f>
        <v>1947624.2519999996</v>
      </c>
      <c r="I13" s="25"/>
      <c r="J13" s="25">
        <v>879324.34799999953</v>
      </c>
      <c r="K13" s="25">
        <v>373746.20400000003</v>
      </c>
      <c r="L13" s="25">
        <v>34800</v>
      </c>
      <c r="M13" s="25">
        <v>647393.69999999995</v>
      </c>
      <c r="N13" s="25">
        <v>12360</v>
      </c>
      <c r="O13" s="24">
        <v>0</v>
      </c>
      <c r="P13" s="25">
        <f>SUM(J13:O13)</f>
        <v>1947624.2519999996</v>
      </c>
      <c r="Q13" s="26"/>
      <c r="R13" s="24">
        <f t="shared" si="37"/>
        <v>1758648.6959999991</v>
      </c>
      <c r="S13" s="24">
        <f t="shared" si="37"/>
        <v>747492.40800000005</v>
      </c>
      <c r="T13" s="24">
        <f t="shared" si="37"/>
        <v>69600</v>
      </c>
      <c r="U13" s="24">
        <f t="shared" si="37"/>
        <v>1294787.3999999999</v>
      </c>
      <c r="V13" s="24">
        <f t="shared" si="37"/>
        <v>24720</v>
      </c>
      <c r="W13" s="24">
        <f t="shared" si="37"/>
        <v>0</v>
      </c>
      <c r="X13" s="25">
        <f>SUM(R13:W13)</f>
        <v>3895248.5039999993</v>
      </c>
      <c r="Y13" s="26"/>
      <c r="Z13" s="15">
        <f t="shared" ref="Z13:AD14" si="41">B13*0.06</f>
        <v>52759.46087999997</v>
      </c>
      <c r="AA13" s="15">
        <f t="shared" si="41"/>
        <v>22424.772240000002</v>
      </c>
      <c r="AB13" s="15">
        <f t="shared" si="41"/>
        <v>2088</v>
      </c>
      <c r="AC13" s="15">
        <f t="shared" si="41"/>
        <v>38843.621999999996</v>
      </c>
      <c r="AD13" s="15">
        <f t="shared" si="41"/>
        <v>741.6</v>
      </c>
      <c r="AE13" s="15">
        <v>0</v>
      </c>
      <c r="AF13" s="15">
        <f>SUM(Z13:AE13)</f>
        <v>116857.45511999997</v>
      </c>
      <c r="AG13" s="27"/>
      <c r="AH13" s="15"/>
      <c r="AI13" s="15"/>
      <c r="AJ13" s="15"/>
      <c r="AK13" s="15"/>
      <c r="AL13" s="15"/>
      <c r="AM13" s="15"/>
      <c r="AN13" s="15">
        <f>SUM(AH13:AM13)</f>
        <v>0</v>
      </c>
      <c r="AO13" s="27"/>
      <c r="AP13" s="27">
        <v>1717.1999999999998</v>
      </c>
      <c r="AQ13" s="27">
        <v>0</v>
      </c>
      <c r="AR13" s="27"/>
      <c r="AS13" s="27"/>
      <c r="AT13" s="27"/>
      <c r="AU13" s="27"/>
      <c r="AV13" s="15">
        <f>SUM(AP13:AU13)</f>
        <v>1717.1999999999998</v>
      </c>
      <c r="AW13" s="27"/>
      <c r="AX13" s="27">
        <f>R13+Z13+AH13+AP13</f>
        <v>1813125.3568799989</v>
      </c>
      <c r="AY13" s="27">
        <f t="shared" si="38"/>
        <v>396170.97624000005</v>
      </c>
      <c r="AZ13" s="27">
        <f t="shared" si="38"/>
        <v>36888</v>
      </c>
      <c r="BA13" s="27">
        <f t="shared" si="38"/>
        <v>686237.32199999993</v>
      </c>
      <c r="BB13" s="27">
        <f t="shared" si="38"/>
        <v>13101.6</v>
      </c>
      <c r="BC13" s="27">
        <f t="shared" si="38"/>
        <v>0</v>
      </c>
      <c r="BD13" s="15">
        <f>SUM(AX13:BC13)</f>
        <v>2945523.2551199994</v>
      </c>
      <c r="BE13" s="26"/>
      <c r="BF13" s="13">
        <f t="shared" si="39"/>
        <v>54476.660879999865</v>
      </c>
      <c r="BG13" s="13">
        <f t="shared" si="39"/>
        <v>-351321.43176000001</v>
      </c>
      <c r="BH13" s="13">
        <f t="shared" si="39"/>
        <v>-32712</v>
      </c>
      <c r="BI13" s="13">
        <f t="shared" si="39"/>
        <v>-608550.07799999998</v>
      </c>
      <c r="BJ13" s="13">
        <f t="shared" si="39"/>
        <v>-11618.4</v>
      </c>
      <c r="BK13" s="13">
        <f t="shared" si="39"/>
        <v>0</v>
      </c>
      <c r="BL13" s="13">
        <f>SUM(BF13:BK13)</f>
        <v>-949725.2488800002</v>
      </c>
      <c r="BM13" s="26"/>
      <c r="BN13" s="28">
        <f t="shared" si="40"/>
        <v>3.0976431508979378E-2</v>
      </c>
      <c r="BO13" s="28">
        <f t="shared" si="40"/>
        <v>-0.47</v>
      </c>
      <c r="BP13" s="28">
        <f t="shared" si="40"/>
        <v>-0.47</v>
      </c>
      <c r="BQ13" s="28">
        <f t="shared" si="40"/>
        <v>-0.47000000000000003</v>
      </c>
      <c r="BR13" s="28">
        <f t="shared" si="40"/>
        <v>-0.47</v>
      </c>
      <c r="BS13" s="28">
        <f t="shared" si="40"/>
        <v>0</v>
      </c>
      <c r="BT13" s="28">
        <f t="shared" si="40"/>
        <v>-0.24381634391354878</v>
      </c>
    </row>
    <row r="14" spans="1:72" x14ac:dyDescent="0.35">
      <c r="A14" t="s">
        <v>11</v>
      </c>
      <c r="B14" s="25">
        <v>481680</v>
      </c>
      <c r="C14" s="25">
        <v>255840</v>
      </c>
      <c r="D14" s="25">
        <v>0</v>
      </c>
      <c r="E14" s="25">
        <v>227518.80000000002</v>
      </c>
      <c r="F14" s="25">
        <v>0</v>
      </c>
      <c r="G14" s="24">
        <v>0</v>
      </c>
      <c r="H14" s="25">
        <f>SUM(B14:G14)</f>
        <v>965038.8</v>
      </c>
      <c r="I14" s="25"/>
      <c r="J14" s="25">
        <v>481680</v>
      </c>
      <c r="K14" s="25">
        <v>255840</v>
      </c>
      <c r="L14" s="25">
        <v>0</v>
      </c>
      <c r="M14" s="25">
        <v>227518.80000000002</v>
      </c>
      <c r="N14" s="25">
        <v>0</v>
      </c>
      <c r="O14" s="24">
        <v>0</v>
      </c>
      <c r="P14" s="25">
        <f>SUM(J14:O14)</f>
        <v>965038.8</v>
      </c>
      <c r="Q14" s="26"/>
      <c r="R14" s="24">
        <f t="shared" si="37"/>
        <v>963360</v>
      </c>
      <c r="S14" s="24">
        <f t="shared" si="37"/>
        <v>511680</v>
      </c>
      <c r="T14" s="24">
        <f t="shared" si="37"/>
        <v>0</v>
      </c>
      <c r="U14" s="24">
        <f t="shared" si="37"/>
        <v>455037.60000000003</v>
      </c>
      <c r="V14" s="24">
        <f t="shared" si="37"/>
        <v>0</v>
      </c>
      <c r="W14" s="24">
        <f t="shared" si="37"/>
        <v>0</v>
      </c>
      <c r="X14" s="25">
        <f>SUM(R14:W14)</f>
        <v>1930077.6</v>
      </c>
      <c r="Y14" s="26"/>
      <c r="Z14" s="15">
        <f t="shared" si="41"/>
        <v>28900.799999999999</v>
      </c>
      <c r="AA14" s="15">
        <f t="shared" si="41"/>
        <v>15350.4</v>
      </c>
      <c r="AB14" s="15">
        <f t="shared" si="41"/>
        <v>0</v>
      </c>
      <c r="AC14" s="15">
        <f t="shared" si="41"/>
        <v>13651.128000000001</v>
      </c>
      <c r="AD14" s="15">
        <f t="shared" si="41"/>
        <v>0</v>
      </c>
      <c r="AE14" s="15">
        <f>G14*0.06</f>
        <v>0</v>
      </c>
      <c r="AF14" s="15">
        <f>SUM(Z14:AE14)</f>
        <v>57902.327999999994</v>
      </c>
      <c r="AG14" s="27"/>
      <c r="AH14" s="15"/>
      <c r="AI14" s="15"/>
      <c r="AJ14" s="15"/>
      <c r="AK14" s="15"/>
      <c r="AL14" s="15"/>
      <c r="AM14" s="15"/>
      <c r="AN14" s="15">
        <f>SUM(AH14:AM14)</f>
        <v>0</v>
      </c>
      <c r="AO14" s="27"/>
      <c r="AP14" s="27">
        <v>28800</v>
      </c>
      <c r="AQ14" s="27">
        <v>14400</v>
      </c>
      <c r="AR14" s="27"/>
      <c r="AS14" s="27"/>
      <c r="AT14" s="27"/>
      <c r="AU14" s="27"/>
      <c r="AV14" s="15">
        <f>SUM(AP14:AU14)</f>
        <v>43200</v>
      </c>
      <c r="AW14" s="27"/>
      <c r="AX14" s="27">
        <f>R14+Z14+AH14+AP14</f>
        <v>1021060.8</v>
      </c>
      <c r="AY14" s="27">
        <f t="shared" si="38"/>
        <v>285590.40000000002</v>
      </c>
      <c r="AZ14" s="27">
        <f t="shared" si="38"/>
        <v>0</v>
      </c>
      <c r="BA14" s="27">
        <f t="shared" si="38"/>
        <v>241169.92800000001</v>
      </c>
      <c r="BB14" s="27">
        <f t="shared" si="38"/>
        <v>0</v>
      </c>
      <c r="BC14" s="27">
        <f t="shared" si="38"/>
        <v>0</v>
      </c>
      <c r="BD14" s="15">
        <f>SUM(AX14:BC14)</f>
        <v>1547821.1280000003</v>
      </c>
      <c r="BE14" s="26"/>
      <c r="BF14" s="13">
        <f t="shared" si="39"/>
        <v>57700.800000000047</v>
      </c>
      <c r="BG14" s="13">
        <f t="shared" si="39"/>
        <v>-226089.59999999998</v>
      </c>
      <c r="BH14" s="13">
        <f t="shared" si="39"/>
        <v>0</v>
      </c>
      <c r="BI14" s="13">
        <f t="shared" si="39"/>
        <v>-213867.67200000002</v>
      </c>
      <c r="BJ14" s="13">
        <f t="shared" si="39"/>
        <v>0</v>
      </c>
      <c r="BK14" s="13">
        <f t="shared" si="39"/>
        <v>0</v>
      </c>
      <c r="BL14" s="13">
        <f>SUM(BF14:BK14)</f>
        <v>-382256.47199999995</v>
      </c>
      <c r="BM14" s="26"/>
      <c r="BN14" s="28">
        <f t="shared" si="40"/>
        <v>5.9895366218236219E-2</v>
      </c>
      <c r="BO14" s="28">
        <f t="shared" si="40"/>
        <v>-0.44185741088180108</v>
      </c>
      <c r="BP14" s="28">
        <f t="shared" si="40"/>
        <v>0</v>
      </c>
      <c r="BQ14" s="28">
        <f t="shared" si="40"/>
        <v>-0.47000000000000003</v>
      </c>
      <c r="BR14" s="28">
        <f t="shared" si="40"/>
        <v>0</v>
      </c>
      <c r="BS14" s="28">
        <f t="shared" si="40"/>
        <v>0</v>
      </c>
      <c r="BT14" s="28">
        <f t="shared" si="40"/>
        <v>-0.19805238504400027</v>
      </c>
    </row>
    <row r="15" spans="1:72" x14ac:dyDescent="0.35">
      <c r="A15" t="s">
        <v>15</v>
      </c>
      <c r="B15" s="25">
        <f>889505.931157351-120000</f>
        <v>769505.93115735101</v>
      </c>
      <c r="C15" s="25">
        <f>650743.812794062-120000</f>
        <v>530743.81279406196</v>
      </c>
      <c r="D15" s="25">
        <v>0</v>
      </c>
      <c r="E15" s="25">
        <f>6714000-466695.821629235</f>
        <v>6247304.1783707654</v>
      </c>
      <c r="F15" s="25">
        <v>0</v>
      </c>
      <c r="G15" s="24">
        <v>0</v>
      </c>
      <c r="H15" s="25">
        <f t="shared" si="34"/>
        <v>7547553.9223221783</v>
      </c>
      <c r="I15" s="25"/>
      <c r="J15" s="25">
        <f>889505.931157351-120000</f>
        <v>769505.93115735101</v>
      </c>
      <c r="K15" s="25">
        <f>650743.812794062-120000</f>
        <v>530743.81279406196</v>
      </c>
      <c r="L15" s="25">
        <v>0</v>
      </c>
      <c r="M15" s="25">
        <f>6714000-466695.821629235</f>
        <v>6247304.1783707654</v>
      </c>
      <c r="N15" s="25">
        <v>0</v>
      </c>
      <c r="O15" s="24">
        <v>0</v>
      </c>
      <c r="P15" s="25">
        <f t="shared" si="35"/>
        <v>7547553.9223221783</v>
      </c>
      <c r="Q15" s="26"/>
      <c r="R15" s="24">
        <f t="shared" si="4"/>
        <v>1539011.862314702</v>
      </c>
      <c r="S15" s="24">
        <f t="shared" si="5"/>
        <v>1061487.6255881239</v>
      </c>
      <c r="T15" s="24">
        <f t="shared" si="6"/>
        <v>0</v>
      </c>
      <c r="U15" s="24">
        <f t="shared" si="7"/>
        <v>12494608.356741531</v>
      </c>
      <c r="V15" s="24">
        <f t="shared" si="8"/>
        <v>0</v>
      </c>
      <c r="W15" s="24">
        <f t="shared" si="9"/>
        <v>0</v>
      </c>
      <c r="X15" s="25">
        <f t="shared" si="36"/>
        <v>15095107.844644357</v>
      </c>
      <c r="Y15" s="26"/>
      <c r="Z15" s="15"/>
      <c r="AA15" s="15"/>
      <c r="AB15" s="15"/>
      <c r="AC15" s="15"/>
      <c r="AD15" s="15"/>
      <c r="AE15" s="15"/>
      <c r="AF15" s="15">
        <f t="shared" si="10"/>
        <v>0</v>
      </c>
      <c r="AG15" s="27"/>
      <c r="AH15" s="15">
        <v>120000</v>
      </c>
      <c r="AI15" s="15">
        <v>120000</v>
      </c>
      <c r="AJ15" s="15">
        <v>0</v>
      </c>
      <c r="AK15" s="15">
        <v>615000</v>
      </c>
      <c r="AL15" s="15">
        <v>0</v>
      </c>
      <c r="AM15" s="15">
        <v>0</v>
      </c>
      <c r="AN15" s="15">
        <f t="shared" si="11"/>
        <v>855000</v>
      </c>
      <c r="AO15" s="27"/>
      <c r="AP15" s="27">
        <v>0</v>
      </c>
      <c r="AQ15" s="27">
        <v>0</v>
      </c>
      <c r="AR15" s="27"/>
      <c r="AS15" s="27"/>
      <c r="AT15" s="27"/>
      <c r="AU15" s="27"/>
      <c r="AV15" s="15">
        <f t="shared" si="12"/>
        <v>0</v>
      </c>
      <c r="AW15" s="27"/>
      <c r="AX15" s="27">
        <f t="shared" si="13"/>
        <v>1659011.862314702</v>
      </c>
      <c r="AY15" s="27">
        <f t="shared" si="14"/>
        <v>650743.81279406196</v>
      </c>
      <c r="AZ15" s="27">
        <f t="shared" si="15"/>
        <v>0</v>
      </c>
      <c r="BA15" s="27">
        <f t="shared" si="16"/>
        <v>6862304.1783707654</v>
      </c>
      <c r="BB15" s="27">
        <f t="shared" si="17"/>
        <v>0</v>
      </c>
      <c r="BC15" s="27">
        <f t="shared" si="18"/>
        <v>0</v>
      </c>
      <c r="BD15" s="15">
        <f t="shared" si="19"/>
        <v>9172059.8534795288</v>
      </c>
      <c r="BE15" s="26"/>
      <c r="BF15" s="13">
        <f t="shared" si="20"/>
        <v>120000</v>
      </c>
      <c r="BG15" s="13">
        <f t="shared" si="21"/>
        <v>-410743.81279406196</v>
      </c>
      <c r="BH15" s="13">
        <f t="shared" si="22"/>
        <v>0</v>
      </c>
      <c r="BI15" s="13">
        <f t="shared" si="23"/>
        <v>-5632304.1783707654</v>
      </c>
      <c r="BJ15" s="13">
        <f t="shared" si="24"/>
        <v>0</v>
      </c>
      <c r="BK15" s="13">
        <f t="shared" si="25"/>
        <v>0</v>
      </c>
      <c r="BL15" s="13">
        <f t="shared" si="26"/>
        <v>-5923047.9911648277</v>
      </c>
      <c r="BM15" s="26"/>
      <c r="BN15" s="28">
        <f t="shared" si="27"/>
        <v>7.7972108557706504E-2</v>
      </c>
      <c r="BO15" s="28">
        <f t="shared" si="28"/>
        <v>-0.38695110794766613</v>
      </c>
      <c r="BP15" s="28">
        <f t="shared" si="29"/>
        <v>0</v>
      </c>
      <c r="BQ15" s="28">
        <f t="shared" si="30"/>
        <v>-0.45077876933468081</v>
      </c>
      <c r="BR15" s="28">
        <f t="shared" si="31"/>
        <v>0</v>
      </c>
      <c r="BS15" s="28">
        <f t="shared" si="32"/>
        <v>0</v>
      </c>
      <c r="BT15" s="28">
        <f t="shared" si="33"/>
        <v>-0.39238195924955155</v>
      </c>
    </row>
    <row r="16" spans="1:72" x14ac:dyDescent="0.35">
      <c r="A16" t="s">
        <v>16</v>
      </c>
      <c r="B16" s="25">
        <v>445000</v>
      </c>
      <c r="C16" s="25">
        <v>245000</v>
      </c>
      <c r="D16" s="25">
        <v>0</v>
      </c>
      <c r="E16" s="25">
        <v>1305000</v>
      </c>
      <c r="F16" s="25">
        <v>0</v>
      </c>
      <c r="G16" s="24">
        <v>0</v>
      </c>
      <c r="H16" s="25">
        <f t="shared" si="34"/>
        <v>1995000</v>
      </c>
      <c r="I16" s="25"/>
      <c r="J16" s="25">
        <v>445000</v>
      </c>
      <c r="K16" s="25">
        <v>245000</v>
      </c>
      <c r="L16" s="25">
        <v>0</v>
      </c>
      <c r="M16" s="25">
        <v>1305000</v>
      </c>
      <c r="N16" s="25">
        <v>0</v>
      </c>
      <c r="O16" s="24">
        <v>0</v>
      </c>
      <c r="P16" s="25">
        <f t="shared" si="35"/>
        <v>1995000</v>
      </c>
      <c r="Q16" s="26"/>
      <c r="R16" s="24">
        <f t="shared" si="4"/>
        <v>890000</v>
      </c>
      <c r="S16" s="24">
        <f t="shared" si="5"/>
        <v>490000</v>
      </c>
      <c r="T16" s="24">
        <f t="shared" si="6"/>
        <v>0</v>
      </c>
      <c r="U16" s="24">
        <f t="shared" si="7"/>
        <v>2610000</v>
      </c>
      <c r="V16" s="24">
        <f t="shared" si="8"/>
        <v>0</v>
      </c>
      <c r="W16" s="24">
        <f t="shared" si="9"/>
        <v>0</v>
      </c>
      <c r="X16" s="25">
        <f t="shared" si="36"/>
        <v>3990000</v>
      </c>
      <c r="Y16" s="26"/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f t="shared" si="10"/>
        <v>0</v>
      </c>
      <c r="AG16" s="27"/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f t="shared" si="11"/>
        <v>0</v>
      </c>
      <c r="AO16" s="27"/>
      <c r="AP16" s="27">
        <v>15000</v>
      </c>
      <c r="AQ16" s="27">
        <v>5000</v>
      </c>
      <c r="AR16" s="27"/>
      <c r="AS16" s="27"/>
      <c r="AT16" s="27"/>
      <c r="AU16" s="27"/>
      <c r="AV16" s="15">
        <f t="shared" si="12"/>
        <v>20000</v>
      </c>
      <c r="AW16" s="27"/>
      <c r="AX16" s="27">
        <f t="shared" si="13"/>
        <v>905000</v>
      </c>
      <c r="AY16" s="27">
        <f t="shared" si="14"/>
        <v>250000</v>
      </c>
      <c r="AZ16" s="27">
        <f t="shared" si="15"/>
        <v>0</v>
      </c>
      <c r="BA16" s="27">
        <f t="shared" si="16"/>
        <v>1305000</v>
      </c>
      <c r="BB16" s="27">
        <f t="shared" si="17"/>
        <v>0</v>
      </c>
      <c r="BC16" s="27">
        <f t="shared" si="18"/>
        <v>0</v>
      </c>
      <c r="BD16" s="15">
        <f t="shared" si="19"/>
        <v>2460000</v>
      </c>
      <c r="BE16" s="26"/>
      <c r="BF16" s="13">
        <f t="shared" si="20"/>
        <v>15000</v>
      </c>
      <c r="BG16" s="13">
        <f t="shared" si="21"/>
        <v>-240000</v>
      </c>
      <c r="BH16" s="13">
        <f t="shared" si="22"/>
        <v>0</v>
      </c>
      <c r="BI16" s="13">
        <f t="shared" si="23"/>
        <v>-1305000</v>
      </c>
      <c r="BJ16" s="13">
        <f t="shared" si="24"/>
        <v>0</v>
      </c>
      <c r="BK16" s="13">
        <f t="shared" si="25"/>
        <v>0</v>
      </c>
      <c r="BL16" s="13">
        <f t="shared" si="26"/>
        <v>-1530000</v>
      </c>
      <c r="BM16" s="26"/>
      <c r="BN16" s="28">
        <f t="shared" si="27"/>
        <v>1.6853932584269662E-2</v>
      </c>
      <c r="BO16" s="28">
        <f t="shared" si="28"/>
        <v>-0.48979591836734693</v>
      </c>
      <c r="BP16" s="28">
        <f t="shared" si="29"/>
        <v>0</v>
      </c>
      <c r="BQ16" s="28">
        <f t="shared" si="30"/>
        <v>-0.5</v>
      </c>
      <c r="BR16" s="28">
        <f t="shared" si="31"/>
        <v>0</v>
      </c>
      <c r="BS16" s="28">
        <f t="shared" si="32"/>
        <v>0</v>
      </c>
      <c r="BT16" s="28">
        <f t="shared" si="33"/>
        <v>-0.38345864661654133</v>
      </c>
    </row>
    <row r="17" spans="1:72" x14ac:dyDescent="0.35">
      <c r="A17" t="s">
        <v>17</v>
      </c>
      <c r="B17" s="25">
        <f>410000-91306.0904823839</f>
        <v>318693.90951761609</v>
      </c>
      <c r="C17" s="25">
        <f>215000-47227.2881805434</f>
        <v>167772.7118194566</v>
      </c>
      <c r="D17" s="25">
        <v>0</v>
      </c>
      <c r="E17" s="25">
        <f>925000-195206.124479579</f>
        <v>729793.87552042096</v>
      </c>
      <c r="F17" s="25">
        <v>0</v>
      </c>
      <c r="G17" s="24">
        <v>0</v>
      </c>
      <c r="H17" s="25">
        <f t="shared" si="34"/>
        <v>1216260.4968574937</v>
      </c>
      <c r="I17" s="25"/>
      <c r="J17" s="25">
        <f>410000-91306.0904823839</f>
        <v>318693.90951761609</v>
      </c>
      <c r="K17" s="25">
        <f>215000-47227.2881805434</f>
        <v>167772.7118194566</v>
      </c>
      <c r="L17" s="25">
        <v>0</v>
      </c>
      <c r="M17" s="25">
        <f>925000-195206.124479579</f>
        <v>729793.87552042096</v>
      </c>
      <c r="N17" s="25">
        <v>0</v>
      </c>
      <c r="O17" s="24">
        <v>0</v>
      </c>
      <c r="P17" s="25">
        <f t="shared" si="35"/>
        <v>1216260.4968574937</v>
      </c>
      <c r="Q17" s="26"/>
      <c r="R17" s="24">
        <f t="shared" si="4"/>
        <v>637387.81903523218</v>
      </c>
      <c r="S17" s="24">
        <f t="shared" si="5"/>
        <v>335545.4236389132</v>
      </c>
      <c r="T17" s="24">
        <f t="shared" si="6"/>
        <v>0</v>
      </c>
      <c r="U17" s="24">
        <f t="shared" si="7"/>
        <v>1459587.7510408419</v>
      </c>
      <c r="V17" s="24">
        <f t="shared" si="8"/>
        <v>0</v>
      </c>
      <c r="W17" s="24">
        <f t="shared" si="9"/>
        <v>0</v>
      </c>
      <c r="X17" s="25">
        <f t="shared" si="36"/>
        <v>2432520.9937149873</v>
      </c>
      <c r="Y17" s="26"/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f t="shared" si="10"/>
        <v>0</v>
      </c>
      <c r="AG17" s="27"/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f t="shared" si="11"/>
        <v>0</v>
      </c>
      <c r="AO17" s="27"/>
      <c r="AP17" s="27">
        <v>15000</v>
      </c>
      <c r="AQ17" s="27">
        <v>5000</v>
      </c>
      <c r="AR17" s="27"/>
      <c r="AS17" s="27"/>
      <c r="AT17" s="27"/>
      <c r="AU17" s="27"/>
      <c r="AV17" s="15">
        <f t="shared" si="12"/>
        <v>20000</v>
      </c>
      <c r="AW17" s="27"/>
      <c r="AX17" s="27">
        <f t="shared" si="13"/>
        <v>652387.81903523218</v>
      </c>
      <c r="AY17" s="27">
        <f t="shared" si="14"/>
        <v>172772.7118194566</v>
      </c>
      <c r="AZ17" s="27">
        <f t="shared" si="15"/>
        <v>0</v>
      </c>
      <c r="BA17" s="27">
        <f t="shared" si="16"/>
        <v>729793.87552042096</v>
      </c>
      <c r="BB17" s="27">
        <f t="shared" si="17"/>
        <v>0</v>
      </c>
      <c r="BC17" s="27">
        <f t="shared" si="18"/>
        <v>0</v>
      </c>
      <c r="BD17" s="15">
        <f t="shared" si="19"/>
        <v>1554954.4063751097</v>
      </c>
      <c r="BE17" s="26"/>
      <c r="BF17" s="13">
        <f t="shared" si="20"/>
        <v>15000</v>
      </c>
      <c r="BG17" s="13">
        <f t="shared" si="21"/>
        <v>-162772.7118194566</v>
      </c>
      <c r="BH17" s="13">
        <f t="shared" si="22"/>
        <v>0</v>
      </c>
      <c r="BI17" s="13">
        <f t="shared" si="23"/>
        <v>-729793.87552042096</v>
      </c>
      <c r="BJ17" s="13">
        <f t="shared" si="24"/>
        <v>0</v>
      </c>
      <c r="BK17" s="13">
        <f t="shared" si="25"/>
        <v>0</v>
      </c>
      <c r="BL17" s="13">
        <f t="shared" si="26"/>
        <v>-877566.58733987762</v>
      </c>
      <c r="BM17" s="26"/>
      <c r="BN17" s="28">
        <f t="shared" si="27"/>
        <v>2.3533552967335357E-2</v>
      </c>
      <c r="BO17" s="28">
        <f t="shared" si="28"/>
        <v>-0.48509888781740446</v>
      </c>
      <c r="BP17" s="28">
        <f t="shared" si="29"/>
        <v>0</v>
      </c>
      <c r="BQ17" s="28">
        <f t="shared" si="30"/>
        <v>-0.5</v>
      </c>
      <c r="BR17" s="28">
        <f t="shared" si="31"/>
        <v>0</v>
      </c>
      <c r="BS17" s="28">
        <f t="shared" si="32"/>
        <v>0</v>
      </c>
      <c r="BT17" s="28">
        <f t="shared" si="33"/>
        <v>-0.36076423990061562</v>
      </c>
    </row>
    <row r="18" spans="1:72" x14ac:dyDescent="0.35">
      <c r="A18" t="s">
        <v>18</v>
      </c>
      <c r="B18" s="25">
        <f>410000-410000</f>
        <v>0</v>
      </c>
      <c r="C18" s="25">
        <f>215000-215000</f>
        <v>0</v>
      </c>
      <c r="D18" s="25">
        <v>0</v>
      </c>
      <c r="E18" s="25">
        <f>884246.706316613-153403.335503291</f>
        <v>730843.37081332202</v>
      </c>
      <c r="F18" s="25">
        <v>0</v>
      </c>
      <c r="G18" s="24">
        <v>0</v>
      </c>
      <c r="H18" s="25">
        <f t="shared" si="34"/>
        <v>730843.37081332202</v>
      </c>
      <c r="I18" s="25"/>
      <c r="J18" s="25">
        <f>410000-410000</f>
        <v>0</v>
      </c>
      <c r="K18" s="25">
        <f>215000-215000</f>
        <v>0</v>
      </c>
      <c r="L18" s="25">
        <v>0</v>
      </c>
      <c r="M18" s="25">
        <f>884246.706316613-153403.335503291</f>
        <v>730843.37081332202</v>
      </c>
      <c r="N18" s="25">
        <v>0</v>
      </c>
      <c r="O18" s="24">
        <v>0</v>
      </c>
      <c r="P18" s="25">
        <f t="shared" si="35"/>
        <v>730843.37081332202</v>
      </c>
      <c r="Q18" s="26"/>
      <c r="R18" s="24">
        <f t="shared" si="4"/>
        <v>0</v>
      </c>
      <c r="S18" s="24">
        <f t="shared" si="5"/>
        <v>0</v>
      </c>
      <c r="T18" s="24">
        <f t="shared" si="6"/>
        <v>0</v>
      </c>
      <c r="U18" s="24">
        <f t="shared" si="7"/>
        <v>1461686.741626644</v>
      </c>
      <c r="V18" s="24">
        <f t="shared" si="8"/>
        <v>0</v>
      </c>
      <c r="W18" s="24">
        <f t="shared" si="9"/>
        <v>0</v>
      </c>
      <c r="X18" s="25">
        <f t="shared" si="36"/>
        <v>1461686.741626644</v>
      </c>
      <c r="Y18" s="26"/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f t="shared" si="10"/>
        <v>0</v>
      </c>
      <c r="AG18" s="27"/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f t="shared" si="11"/>
        <v>0</v>
      </c>
      <c r="AO18" s="27"/>
      <c r="AP18" s="27">
        <v>0</v>
      </c>
      <c r="AQ18" s="27">
        <v>0</v>
      </c>
      <c r="AR18" s="27"/>
      <c r="AS18" s="27"/>
      <c r="AT18" s="27"/>
      <c r="AU18" s="27"/>
      <c r="AV18" s="15">
        <f t="shared" si="12"/>
        <v>0</v>
      </c>
      <c r="AW18" s="27"/>
      <c r="AX18" s="27">
        <f t="shared" si="13"/>
        <v>0</v>
      </c>
      <c r="AY18" s="27">
        <f t="shared" si="14"/>
        <v>0</v>
      </c>
      <c r="AZ18" s="27">
        <f t="shared" si="15"/>
        <v>0</v>
      </c>
      <c r="BA18" s="27">
        <f t="shared" si="16"/>
        <v>730843.37081332202</v>
      </c>
      <c r="BB18" s="27">
        <f t="shared" si="17"/>
        <v>0</v>
      </c>
      <c r="BC18" s="27">
        <f t="shared" si="18"/>
        <v>0</v>
      </c>
      <c r="BD18" s="15">
        <f t="shared" si="19"/>
        <v>730843.37081332202</v>
      </c>
      <c r="BE18" s="26"/>
      <c r="BF18" s="13">
        <f t="shared" si="20"/>
        <v>0</v>
      </c>
      <c r="BG18" s="13">
        <f t="shared" si="21"/>
        <v>0</v>
      </c>
      <c r="BH18" s="13">
        <f t="shared" si="22"/>
        <v>0</v>
      </c>
      <c r="BI18" s="13">
        <f t="shared" si="23"/>
        <v>-730843.37081332202</v>
      </c>
      <c r="BJ18" s="13">
        <f t="shared" si="24"/>
        <v>0</v>
      </c>
      <c r="BK18" s="13">
        <f t="shared" si="25"/>
        <v>0</v>
      </c>
      <c r="BL18" s="13">
        <f t="shared" si="26"/>
        <v>-730843.37081332202</v>
      </c>
      <c r="BM18" s="26"/>
      <c r="BN18" s="28">
        <f t="shared" si="27"/>
        <v>0</v>
      </c>
      <c r="BO18" s="28">
        <f t="shared" si="28"/>
        <v>0</v>
      </c>
      <c r="BP18" s="28">
        <f t="shared" si="29"/>
        <v>0</v>
      </c>
      <c r="BQ18" s="28">
        <f t="shared" si="30"/>
        <v>-0.5</v>
      </c>
      <c r="BR18" s="28">
        <f t="shared" si="31"/>
        <v>0</v>
      </c>
      <c r="BS18" s="28">
        <f t="shared" si="32"/>
        <v>0</v>
      </c>
      <c r="BT18" s="28">
        <f t="shared" si="33"/>
        <v>-0.5</v>
      </c>
    </row>
    <row r="19" spans="1:72" x14ac:dyDescent="0.35">
      <c r="A19" t="s">
        <v>19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4">
        <v>0</v>
      </c>
      <c r="H19" s="25">
        <f t="shared" si="34"/>
        <v>0</v>
      </c>
      <c r="I19" s="25"/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4">
        <v>0</v>
      </c>
      <c r="P19" s="25">
        <f t="shared" si="35"/>
        <v>0</v>
      </c>
      <c r="Q19" s="26"/>
      <c r="R19" s="24">
        <f t="shared" si="4"/>
        <v>0</v>
      </c>
      <c r="S19" s="24">
        <f t="shared" si="5"/>
        <v>0</v>
      </c>
      <c r="T19" s="24">
        <f t="shared" si="6"/>
        <v>0</v>
      </c>
      <c r="U19" s="24">
        <f t="shared" si="7"/>
        <v>0</v>
      </c>
      <c r="V19" s="24">
        <f t="shared" si="8"/>
        <v>0</v>
      </c>
      <c r="W19" s="24">
        <f t="shared" si="9"/>
        <v>0</v>
      </c>
      <c r="X19" s="25">
        <f t="shared" si="36"/>
        <v>0</v>
      </c>
      <c r="Y19" s="26"/>
      <c r="Z19" s="15"/>
      <c r="AA19" s="15"/>
      <c r="AB19" s="15"/>
      <c r="AC19" s="15"/>
      <c r="AD19" s="15"/>
      <c r="AE19" s="15"/>
      <c r="AF19" s="15">
        <f t="shared" si="10"/>
        <v>0</v>
      </c>
      <c r="AG19" s="27"/>
      <c r="AH19" s="15">
        <v>0</v>
      </c>
      <c r="AI19" s="15">
        <v>50000</v>
      </c>
      <c r="AJ19" s="15">
        <v>0</v>
      </c>
      <c r="AK19" s="15">
        <v>60000</v>
      </c>
      <c r="AL19" s="15">
        <v>0</v>
      </c>
      <c r="AM19" s="15">
        <v>0</v>
      </c>
      <c r="AN19" s="15">
        <f t="shared" si="11"/>
        <v>110000</v>
      </c>
      <c r="AO19" s="27"/>
      <c r="AP19" s="27"/>
      <c r="AQ19" s="27"/>
      <c r="AR19" s="27"/>
      <c r="AS19" s="27"/>
      <c r="AT19" s="27"/>
      <c r="AU19" s="27"/>
      <c r="AV19" s="15">
        <f t="shared" si="12"/>
        <v>0</v>
      </c>
      <c r="AW19" s="27"/>
      <c r="AX19" s="27">
        <f t="shared" si="13"/>
        <v>0</v>
      </c>
      <c r="AY19" s="27">
        <f t="shared" si="14"/>
        <v>50000</v>
      </c>
      <c r="AZ19" s="27">
        <f t="shared" si="15"/>
        <v>0</v>
      </c>
      <c r="BA19" s="27">
        <f t="shared" si="16"/>
        <v>60000</v>
      </c>
      <c r="BB19" s="27">
        <f t="shared" si="17"/>
        <v>0</v>
      </c>
      <c r="BC19" s="27">
        <f t="shared" si="18"/>
        <v>0</v>
      </c>
      <c r="BD19" s="15">
        <f t="shared" si="19"/>
        <v>110000</v>
      </c>
      <c r="BE19" s="26"/>
      <c r="BF19" s="13">
        <f t="shared" si="20"/>
        <v>0</v>
      </c>
      <c r="BG19" s="13">
        <f t="shared" si="21"/>
        <v>50000</v>
      </c>
      <c r="BH19" s="13">
        <f t="shared" si="22"/>
        <v>0</v>
      </c>
      <c r="BI19" s="13">
        <f t="shared" si="23"/>
        <v>60000</v>
      </c>
      <c r="BJ19" s="13">
        <f t="shared" si="24"/>
        <v>0</v>
      </c>
      <c r="BK19" s="13">
        <f t="shared" si="25"/>
        <v>0</v>
      </c>
      <c r="BL19" s="13">
        <f t="shared" si="26"/>
        <v>110000</v>
      </c>
      <c r="BM19" s="26"/>
      <c r="BN19" s="28">
        <f t="shared" si="27"/>
        <v>0</v>
      </c>
      <c r="BO19" s="28">
        <f t="shared" si="28"/>
        <v>0</v>
      </c>
      <c r="BP19" s="28">
        <f t="shared" si="29"/>
        <v>0</v>
      </c>
      <c r="BQ19" s="28">
        <f t="shared" si="30"/>
        <v>0</v>
      </c>
      <c r="BR19" s="28">
        <f t="shared" si="31"/>
        <v>0</v>
      </c>
      <c r="BS19" s="28">
        <f t="shared" si="32"/>
        <v>0</v>
      </c>
      <c r="BT19" s="28">
        <f t="shared" si="33"/>
        <v>0</v>
      </c>
    </row>
    <row r="20" spans="1:72" x14ac:dyDescent="0.35">
      <c r="A20" t="s">
        <v>20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4">
        <v>0</v>
      </c>
      <c r="H20" s="25">
        <f t="shared" si="34"/>
        <v>0</v>
      </c>
      <c r="I20" s="25"/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4">
        <v>0</v>
      </c>
      <c r="P20" s="25">
        <f t="shared" si="35"/>
        <v>0</v>
      </c>
      <c r="Q20" s="26"/>
      <c r="R20" s="24">
        <f t="shared" si="4"/>
        <v>0</v>
      </c>
      <c r="S20" s="24">
        <f t="shared" si="5"/>
        <v>0</v>
      </c>
      <c r="T20" s="24">
        <f t="shared" si="6"/>
        <v>0</v>
      </c>
      <c r="U20" s="24">
        <f t="shared" si="7"/>
        <v>0</v>
      </c>
      <c r="V20" s="24">
        <f t="shared" si="8"/>
        <v>0</v>
      </c>
      <c r="W20" s="24">
        <f t="shared" si="9"/>
        <v>0</v>
      </c>
      <c r="X20" s="25">
        <f t="shared" si="36"/>
        <v>0</v>
      </c>
      <c r="Y20" s="26"/>
      <c r="Z20" s="15"/>
      <c r="AA20" s="15"/>
      <c r="AB20" s="15"/>
      <c r="AC20" s="15"/>
      <c r="AD20" s="15"/>
      <c r="AE20" s="15"/>
      <c r="AF20" s="15">
        <f t="shared" si="10"/>
        <v>0</v>
      </c>
      <c r="AG20" s="27"/>
      <c r="AH20" s="15">
        <v>0</v>
      </c>
      <c r="AI20" s="15">
        <v>20000</v>
      </c>
      <c r="AJ20" s="15">
        <v>0</v>
      </c>
      <c r="AK20" s="15">
        <f>2000*2*12*2</f>
        <v>96000</v>
      </c>
      <c r="AL20" s="15">
        <v>0</v>
      </c>
      <c r="AM20" s="15">
        <v>0</v>
      </c>
      <c r="AN20" s="15">
        <f t="shared" si="11"/>
        <v>116000</v>
      </c>
      <c r="AO20" s="27"/>
      <c r="AP20" s="27"/>
      <c r="AQ20" s="27"/>
      <c r="AR20" s="27"/>
      <c r="AS20" s="27"/>
      <c r="AT20" s="27"/>
      <c r="AU20" s="27"/>
      <c r="AV20" s="15">
        <f t="shared" si="12"/>
        <v>0</v>
      </c>
      <c r="AW20" s="27"/>
      <c r="AX20" s="27">
        <f t="shared" si="13"/>
        <v>0</v>
      </c>
      <c r="AY20" s="27">
        <f t="shared" si="14"/>
        <v>20000</v>
      </c>
      <c r="AZ20" s="27">
        <f t="shared" si="15"/>
        <v>0</v>
      </c>
      <c r="BA20" s="27">
        <f t="shared" si="16"/>
        <v>96000</v>
      </c>
      <c r="BB20" s="27">
        <f t="shared" si="17"/>
        <v>0</v>
      </c>
      <c r="BC20" s="27">
        <f t="shared" si="18"/>
        <v>0</v>
      </c>
      <c r="BD20" s="15">
        <f t="shared" si="19"/>
        <v>116000</v>
      </c>
      <c r="BE20" s="26"/>
      <c r="BF20" s="13">
        <f t="shared" si="20"/>
        <v>0</v>
      </c>
      <c r="BG20" s="13">
        <f t="shared" si="21"/>
        <v>20000</v>
      </c>
      <c r="BH20" s="13">
        <f t="shared" si="22"/>
        <v>0</v>
      </c>
      <c r="BI20" s="13">
        <f t="shared" si="23"/>
        <v>96000</v>
      </c>
      <c r="BJ20" s="13">
        <f t="shared" si="24"/>
        <v>0</v>
      </c>
      <c r="BK20" s="13">
        <f t="shared" si="25"/>
        <v>0</v>
      </c>
      <c r="BL20" s="13">
        <f t="shared" si="26"/>
        <v>116000</v>
      </c>
      <c r="BM20" s="26"/>
      <c r="BN20" s="28">
        <f t="shared" si="27"/>
        <v>0</v>
      </c>
      <c r="BO20" s="28">
        <f t="shared" si="28"/>
        <v>0</v>
      </c>
      <c r="BP20" s="28">
        <f t="shared" si="29"/>
        <v>0</v>
      </c>
      <c r="BQ20" s="28">
        <f t="shared" si="30"/>
        <v>0</v>
      </c>
      <c r="BR20" s="28">
        <f t="shared" si="31"/>
        <v>0</v>
      </c>
      <c r="BS20" s="28">
        <f t="shared" si="32"/>
        <v>0</v>
      </c>
      <c r="BT20" s="28">
        <f t="shared" si="33"/>
        <v>0</v>
      </c>
    </row>
    <row r="21" spans="1:72" x14ac:dyDescent="0.35">
      <c r="A21" t="s">
        <v>21</v>
      </c>
      <c r="B21" s="25">
        <v>44160</v>
      </c>
      <c r="C21" s="25">
        <v>23520</v>
      </c>
      <c r="D21" s="25">
        <v>7920</v>
      </c>
      <c r="E21" s="25">
        <v>129480</v>
      </c>
      <c r="F21" s="25">
        <v>1440</v>
      </c>
      <c r="G21" s="24">
        <v>0</v>
      </c>
      <c r="H21" s="25">
        <f t="shared" si="34"/>
        <v>206520</v>
      </c>
      <c r="I21" s="25"/>
      <c r="J21" s="25">
        <v>44160</v>
      </c>
      <c r="K21" s="25">
        <v>23520</v>
      </c>
      <c r="L21" s="25">
        <v>7920</v>
      </c>
      <c r="M21" s="25">
        <v>129480</v>
      </c>
      <c r="N21" s="25">
        <v>1440</v>
      </c>
      <c r="O21" s="24">
        <v>0</v>
      </c>
      <c r="P21" s="25">
        <f t="shared" si="35"/>
        <v>206520</v>
      </c>
      <c r="Q21" s="26"/>
      <c r="R21" s="24">
        <f t="shared" si="4"/>
        <v>88320</v>
      </c>
      <c r="S21" s="24">
        <f t="shared" si="5"/>
        <v>47040</v>
      </c>
      <c r="T21" s="24">
        <f t="shared" si="6"/>
        <v>15840</v>
      </c>
      <c r="U21" s="24">
        <f t="shared" si="7"/>
        <v>258960</v>
      </c>
      <c r="V21" s="24">
        <f t="shared" si="8"/>
        <v>2880</v>
      </c>
      <c r="W21" s="24">
        <f t="shared" si="9"/>
        <v>0</v>
      </c>
      <c r="X21" s="25">
        <f t="shared" si="36"/>
        <v>413040</v>
      </c>
      <c r="Y21" s="26"/>
      <c r="Z21" s="15"/>
      <c r="AA21" s="15"/>
      <c r="AB21" s="15"/>
      <c r="AC21" s="15"/>
      <c r="AD21" s="15"/>
      <c r="AE21" s="15"/>
      <c r="AF21" s="15">
        <f t="shared" si="10"/>
        <v>0</v>
      </c>
      <c r="AG21" s="27"/>
      <c r="AH21" s="15">
        <v>11040</v>
      </c>
      <c r="AI21" s="15">
        <v>5880</v>
      </c>
      <c r="AJ21" s="15">
        <v>0</v>
      </c>
      <c r="AK21" s="15">
        <v>32370</v>
      </c>
      <c r="AL21" s="15">
        <v>0</v>
      </c>
      <c r="AM21" s="15">
        <v>0</v>
      </c>
      <c r="AN21" s="15">
        <f t="shared" si="11"/>
        <v>49290</v>
      </c>
      <c r="AO21" s="27"/>
      <c r="AP21" s="27">
        <v>1200</v>
      </c>
      <c r="AQ21" s="27">
        <v>480</v>
      </c>
      <c r="AR21" s="27"/>
      <c r="AS21" s="27"/>
      <c r="AT21" s="27"/>
      <c r="AU21" s="27"/>
      <c r="AV21" s="15">
        <f t="shared" si="12"/>
        <v>1680</v>
      </c>
      <c r="AW21" s="27"/>
      <c r="AX21" s="27">
        <f t="shared" si="13"/>
        <v>100560</v>
      </c>
      <c r="AY21" s="27">
        <f t="shared" si="14"/>
        <v>29880</v>
      </c>
      <c r="AZ21" s="27">
        <f t="shared" si="15"/>
        <v>7920</v>
      </c>
      <c r="BA21" s="27">
        <f t="shared" si="16"/>
        <v>161850</v>
      </c>
      <c r="BB21" s="27">
        <f t="shared" si="17"/>
        <v>1440</v>
      </c>
      <c r="BC21" s="27">
        <f t="shared" si="18"/>
        <v>0</v>
      </c>
      <c r="BD21" s="15">
        <f t="shared" si="19"/>
        <v>301650</v>
      </c>
      <c r="BE21" s="26"/>
      <c r="BF21" s="13">
        <f t="shared" si="20"/>
        <v>12240</v>
      </c>
      <c r="BG21" s="13">
        <f t="shared" si="21"/>
        <v>-17160</v>
      </c>
      <c r="BH21" s="13">
        <f t="shared" si="22"/>
        <v>-7920</v>
      </c>
      <c r="BI21" s="13">
        <f t="shared" si="23"/>
        <v>-97110</v>
      </c>
      <c r="BJ21" s="13">
        <f t="shared" si="24"/>
        <v>-1440</v>
      </c>
      <c r="BK21" s="13">
        <f t="shared" si="25"/>
        <v>0</v>
      </c>
      <c r="BL21" s="13">
        <f t="shared" si="26"/>
        <v>-111390</v>
      </c>
      <c r="BM21" s="26"/>
      <c r="BN21" s="28">
        <f t="shared" si="27"/>
        <v>0.13858695652173914</v>
      </c>
      <c r="BO21" s="28">
        <f t="shared" si="28"/>
        <v>-0.36479591836734693</v>
      </c>
      <c r="BP21" s="28">
        <f t="shared" si="29"/>
        <v>-0.5</v>
      </c>
      <c r="BQ21" s="28">
        <f t="shared" si="30"/>
        <v>-0.375</v>
      </c>
      <c r="BR21" s="28">
        <f t="shared" si="31"/>
        <v>-0.5</v>
      </c>
      <c r="BS21" s="28">
        <f t="shared" si="32"/>
        <v>0</v>
      </c>
      <c r="BT21" s="28">
        <f t="shared" si="33"/>
        <v>-0.26968332364904124</v>
      </c>
    </row>
    <row r="22" spans="1:72" x14ac:dyDescent="0.35">
      <c r="A22" t="s">
        <v>22</v>
      </c>
      <c r="B22" s="25">
        <v>366410</v>
      </c>
      <c r="C22" s="25">
        <v>197560</v>
      </c>
      <c r="D22" s="25">
        <v>25410</v>
      </c>
      <c r="E22" s="25">
        <v>3321120</v>
      </c>
      <c r="F22" s="25">
        <v>4620</v>
      </c>
      <c r="G22" s="24">
        <v>0</v>
      </c>
      <c r="H22" s="25">
        <f t="shared" si="34"/>
        <v>3915120</v>
      </c>
      <c r="I22" s="25"/>
      <c r="J22" s="25">
        <v>366410</v>
      </c>
      <c r="K22" s="25">
        <v>197560</v>
      </c>
      <c r="L22" s="25">
        <v>25410</v>
      </c>
      <c r="M22" s="25">
        <v>3321120</v>
      </c>
      <c r="N22" s="25">
        <v>4620</v>
      </c>
      <c r="O22" s="24">
        <v>0</v>
      </c>
      <c r="P22" s="25">
        <f t="shared" si="35"/>
        <v>3915120</v>
      </c>
      <c r="Q22" s="26"/>
      <c r="R22" s="24">
        <f t="shared" si="4"/>
        <v>732820</v>
      </c>
      <c r="S22" s="24">
        <f t="shared" si="5"/>
        <v>395120</v>
      </c>
      <c r="T22" s="24">
        <f t="shared" si="6"/>
        <v>50820</v>
      </c>
      <c r="U22" s="24">
        <f t="shared" si="7"/>
        <v>6642240</v>
      </c>
      <c r="V22" s="24">
        <f t="shared" si="8"/>
        <v>9240</v>
      </c>
      <c r="W22" s="24">
        <f t="shared" si="9"/>
        <v>0</v>
      </c>
      <c r="X22" s="25">
        <f t="shared" si="36"/>
        <v>7830240</v>
      </c>
      <c r="Y22" s="26"/>
      <c r="Z22" s="15"/>
      <c r="AA22" s="15"/>
      <c r="AB22" s="15"/>
      <c r="AC22" s="15"/>
      <c r="AD22" s="15"/>
      <c r="AE22" s="15"/>
      <c r="AF22" s="15">
        <f t="shared" si="10"/>
        <v>0</v>
      </c>
      <c r="AG22" s="27"/>
      <c r="AH22" s="15">
        <v>91602.5</v>
      </c>
      <c r="AI22" s="15">
        <v>49390</v>
      </c>
      <c r="AJ22" s="15">
        <v>0</v>
      </c>
      <c r="AK22" s="15">
        <v>830280</v>
      </c>
      <c r="AL22" s="15">
        <v>0</v>
      </c>
      <c r="AM22" s="15">
        <v>0</v>
      </c>
      <c r="AN22" s="15">
        <f t="shared" si="11"/>
        <v>971272.5</v>
      </c>
      <c r="AO22" s="27"/>
      <c r="AP22" s="27">
        <v>9790</v>
      </c>
      <c r="AQ22" s="27">
        <v>3904.9999999999995</v>
      </c>
      <c r="AR22" s="27"/>
      <c r="AS22" s="27"/>
      <c r="AT22" s="27"/>
      <c r="AU22" s="27"/>
      <c r="AV22" s="15">
        <f t="shared" si="12"/>
        <v>13695</v>
      </c>
      <c r="AW22" s="27"/>
      <c r="AX22" s="27">
        <f t="shared" si="13"/>
        <v>834212.5</v>
      </c>
      <c r="AY22" s="27">
        <f t="shared" si="14"/>
        <v>250855</v>
      </c>
      <c r="AZ22" s="27">
        <f t="shared" si="15"/>
        <v>25410</v>
      </c>
      <c r="BA22" s="27">
        <f t="shared" si="16"/>
        <v>4151400</v>
      </c>
      <c r="BB22" s="27">
        <f t="shared" si="17"/>
        <v>4620</v>
      </c>
      <c r="BC22" s="27">
        <f t="shared" si="18"/>
        <v>0</v>
      </c>
      <c r="BD22" s="15">
        <f t="shared" si="19"/>
        <v>5266497.5</v>
      </c>
      <c r="BE22" s="26"/>
      <c r="BF22" s="13">
        <f t="shared" si="20"/>
        <v>101392.5</v>
      </c>
      <c r="BG22" s="13">
        <f t="shared" si="21"/>
        <v>-144265</v>
      </c>
      <c r="BH22" s="13">
        <f t="shared" si="22"/>
        <v>-25410</v>
      </c>
      <c r="BI22" s="13">
        <f t="shared" si="23"/>
        <v>-2490840</v>
      </c>
      <c r="BJ22" s="13">
        <f t="shared" si="24"/>
        <v>-4620</v>
      </c>
      <c r="BK22" s="13">
        <f t="shared" si="25"/>
        <v>0</v>
      </c>
      <c r="BL22" s="13">
        <f t="shared" si="26"/>
        <v>-2563742.5</v>
      </c>
      <c r="BM22" s="26"/>
      <c r="BN22" s="28">
        <f t="shared" si="27"/>
        <v>0.13835935154608225</v>
      </c>
      <c r="BO22" s="28">
        <f t="shared" si="28"/>
        <v>-0.36511692650334077</v>
      </c>
      <c r="BP22" s="28">
        <f t="shared" si="29"/>
        <v>-0.5</v>
      </c>
      <c r="BQ22" s="28">
        <f t="shared" si="30"/>
        <v>-0.375</v>
      </c>
      <c r="BR22" s="28">
        <f t="shared" si="31"/>
        <v>-0.5</v>
      </c>
      <c r="BS22" s="28">
        <f t="shared" si="32"/>
        <v>0</v>
      </c>
      <c r="BT22" s="28">
        <f t="shared" si="33"/>
        <v>-0.32741557091481233</v>
      </c>
    </row>
    <row r="23" spans="1:72" x14ac:dyDescent="0.35">
      <c r="A23" t="s">
        <v>23</v>
      </c>
      <c r="B23" s="25">
        <f>554840-135724.208079921</f>
        <v>419115.79192007903</v>
      </c>
      <c r="C23" s="25">
        <f>403810-95913.1124603991</f>
        <v>307896.8875396009</v>
      </c>
      <c r="D23" s="25">
        <v>30250</v>
      </c>
      <c r="E23" s="25">
        <f>2581370-590640.025174874</f>
        <v>1990729.9748251261</v>
      </c>
      <c r="F23" s="25">
        <v>5500</v>
      </c>
      <c r="G23" s="24">
        <v>0</v>
      </c>
      <c r="H23" s="25">
        <f t="shared" si="34"/>
        <v>2753492.654284806</v>
      </c>
      <c r="I23" s="25"/>
      <c r="J23" s="25">
        <f>554840-135724.208079921</f>
        <v>419115.79192007903</v>
      </c>
      <c r="K23" s="25">
        <f>403810-95913.1124603991</f>
        <v>307896.8875396009</v>
      </c>
      <c r="L23" s="25">
        <v>30250</v>
      </c>
      <c r="M23" s="25">
        <f>2581370-590640.025174874</f>
        <v>1990729.9748251261</v>
      </c>
      <c r="N23" s="25">
        <v>5500</v>
      </c>
      <c r="O23" s="24">
        <v>0</v>
      </c>
      <c r="P23" s="25">
        <f t="shared" si="35"/>
        <v>2753492.654284806</v>
      </c>
      <c r="Q23" s="26"/>
      <c r="R23" s="24">
        <f t="shared" si="4"/>
        <v>838231.58384015807</v>
      </c>
      <c r="S23" s="24">
        <f t="shared" si="5"/>
        <v>615793.77507920179</v>
      </c>
      <c r="T23" s="24">
        <f t="shared" si="6"/>
        <v>60500</v>
      </c>
      <c r="U23" s="24">
        <f t="shared" si="7"/>
        <v>3981459.9496502522</v>
      </c>
      <c r="V23" s="24">
        <f t="shared" si="8"/>
        <v>11000</v>
      </c>
      <c r="W23" s="24">
        <f t="shared" si="9"/>
        <v>0</v>
      </c>
      <c r="X23" s="25">
        <f t="shared" si="36"/>
        <v>5506985.308569612</v>
      </c>
      <c r="Y23" s="26"/>
      <c r="Z23" s="15"/>
      <c r="AA23" s="15"/>
      <c r="AB23" s="15"/>
      <c r="AC23" s="15"/>
      <c r="AD23" s="15"/>
      <c r="AE23" s="15"/>
      <c r="AF23" s="15">
        <f t="shared" si="10"/>
        <v>0</v>
      </c>
      <c r="AG23" s="27"/>
      <c r="AH23" s="15">
        <v>166452</v>
      </c>
      <c r="AI23" s="15">
        <v>121143</v>
      </c>
      <c r="AJ23" s="15">
        <v>0</v>
      </c>
      <c r="AK23" s="15">
        <v>774411</v>
      </c>
      <c r="AL23" s="15">
        <v>0</v>
      </c>
      <c r="AM23" s="15">
        <v>0</v>
      </c>
      <c r="AN23" s="15">
        <f t="shared" si="11"/>
        <v>1062006</v>
      </c>
      <c r="AO23" s="27"/>
      <c r="AP23" s="27">
        <v>30459</v>
      </c>
      <c r="AQ23" s="27">
        <v>10725</v>
      </c>
      <c r="AR23" s="27"/>
      <c r="AS23" s="27"/>
      <c r="AT23" s="27"/>
      <c r="AU23" s="27"/>
      <c r="AV23" s="15">
        <f t="shared" si="12"/>
        <v>41184</v>
      </c>
      <c r="AW23" s="27"/>
      <c r="AX23" s="27">
        <f t="shared" si="13"/>
        <v>1035142.5838401581</v>
      </c>
      <c r="AY23" s="27">
        <f t="shared" si="14"/>
        <v>439764.8875396009</v>
      </c>
      <c r="AZ23" s="27">
        <f t="shared" si="15"/>
        <v>30250</v>
      </c>
      <c r="BA23" s="27">
        <f t="shared" si="16"/>
        <v>2765140.9748251261</v>
      </c>
      <c r="BB23" s="27">
        <f t="shared" si="17"/>
        <v>5500</v>
      </c>
      <c r="BC23" s="27">
        <f t="shared" si="18"/>
        <v>0</v>
      </c>
      <c r="BD23" s="15">
        <f t="shared" si="19"/>
        <v>4275798.4462048849</v>
      </c>
      <c r="BE23" s="26"/>
      <c r="BF23" s="13">
        <f t="shared" si="20"/>
        <v>196911</v>
      </c>
      <c r="BG23" s="13">
        <f t="shared" si="21"/>
        <v>-176028.8875396009</v>
      </c>
      <c r="BH23" s="13">
        <f t="shared" si="22"/>
        <v>-30250</v>
      </c>
      <c r="BI23" s="13">
        <f t="shared" si="23"/>
        <v>-1216318.9748251261</v>
      </c>
      <c r="BJ23" s="13">
        <f t="shared" si="24"/>
        <v>-5500</v>
      </c>
      <c r="BK23" s="13">
        <f t="shared" si="25"/>
        <v>0</v>
      </c>
      <c r="BL23" s="13">
        <f t="shared" si="26"/>
        <v>-1231186.8623647271</v>
      </c>
      <c r="BM23" s="26"/>
      <c r="BN23" s="28">
        <f t="shared" si="27"/>
        <v>0.23491240821289414</v>
      </c>
      <c r="BO23" s="28">
        <f t="shared" si="28"/>
        <v>-0.28585688044176888</v>
      </c>
      <c r="BP23" s="28">
        <f t="shared" si="29"/>
        <v>-0.5</v>
      </c>
      <c r="BQ23" s="28">
        <f t="shared" si="30"/>
        <v>-0.30549572021488564</v>
      </c>
      <c r="BR23" s="28">
        <f t="shared" si="31"/>
        <v>-0.5</v>
      </c>
      <c r="BS23" s="28">
        <f t="shared" si="32"/>
        <v>0</v>
      </c>
      <c r="BT23" s="28">
        <f t="shared" si="33"/>
        <v>-0.22356821262058466</v>
      </c>
    </row>
    <row r="24" spans="1:72" x14ac:dyDescent="0.35">
      <c r="A24" t="s">
        <v>24</v>
      </c>
      <c r="B24" s="29">
        <f>4158842.78699999-976676.076414637</f>
        <v>3182166.710585353</v>
      </c>
      <c r="C24" s="29">
        <f>2277601.656-527322.251307828</f>
        <v>1750279.4046921721</v>
      </c>
      <c r="D24" s="29">
        <v>554774.71500000008</v>
      </c>
      <c r="E24" s="29">
        <f>9879209.63699998-2206752.60867739</f>
        <v>7672457.0283225896</v>
      </c>
      <c r="F24" s="29">
        <v>100868.13</v>
      </c>
      <c r="G24" s="30">
        <v>0</v>
      </c>
      <c r="H24" s="29">
        <f>SUM(B24:G24)</f>
        <v>13260545.988600114</v>
      </c>
      <c r="I24" s="31"/>
      <c r="J24" s="29">
        <f>4158842.78699999-976676.076414637</f>
        <v>3182166.710585353</v>
      </c>
      <c r="K24" s="29">
        <f>2277601.656-527322.251307828</f>
        <v>1750279.4046921721</v>
      </c>
      <c r="L24" s="29">
        <v>554774.71500000008</v>
      </c>
      <c r="M24" s="29">
        <f>9879209.63699998-2206752.60867739</f>
        <v>7672457.0283225896</v>
      </c>
      <c r="N24" s="29">
        <v>100868.13</v>
      </c>
      <c r="O24" s="30">
        <v>0</v>
      </c>
      <c r="P24" s="29">
        <f>SUM(J24:O24)</f>
        <v>13260545.988600114</v>
      </c>
      <c r="Q24" s="26"/>
      <c r="R24" s="30">
        <f t="shared" si="4"/>
        <v>6364333.4211707059</v>
      </c>
      <c r="S24" s="30">
        <f t="shared" si="5"/>
        <v>3500558.8093843441</v>
      </c>
      <c r="T24" s="30">
        <f t="shared" si="6"/>
        <v>1109549.4300000002</v>
      </c>
      <c r="U24" s="30">
        <f t="shared" si="7"/>
        <v>15344914.056645179</v>
      </c>
      <c r="V24" s="30">
        <f t="shared" si="8"/>
        <v>201736.26</v>
      </c>
      <c r="W24" s="30">
        <f t="shared" si="9"/>
        <v>0</v>
      </c>
      <c r="X24" s="29">
        <f>SUM(R24:W24)</f>
        <v>26521091.977200229</v>
      </c>
      <c r="Y24" s="26"/>
      <c r="Z24" s="32"/>
      <c r="AA24" s="32"/>
      <c r="AB24" s="32"/>
      <c r="AC24" s="32"/>
      <c r="AD24" s="32"/>
      <c r="AE24" s="29"/>
      <c r="AF24" s="32">
        <f t="shared" si="10"/>
        <v>0</v>
      </c>
      <c r="AG24" s="27"/>
      <c r="AH24" s="32">
        <v>1109024.7432000069</v>
      </c>
      <c r="AI24" s="32">
        <v>607360.44160000002</v>
      </c>
      <c r="AJ24" s="32">
        <v>0</v>
      </c>
      <c r="AK24" s="32">
        <v>2634455.9032000527</v>
      </c>
      <c r="AL24" s="32">
        <v>0</v>
      </c>
      <c r="AM24" s="29">
        <v>0</v>
      </c>
      <c r="AN24" s="32">
        <f t="shared" si="11"/>
        <v>4350841.0880000591</v>
      </c>
      <c r="AO24" s="27"/>
      <c r="AP24" s="33">
        <v>176997.71100000001</v>
      </c>
      <c r="AQ24" s="33">
        <v>59557.894000000008</v>
      </c>
      <c r="AR24" s="33"/>
      <c r="AS24" s="33"/>
      <c r="AT24" s="33"/>
      <c r="AU24" s="33">
        <v>192000</v>
      </c>
      <c r="AV24" s="32">
        <f t="shared" si="12"/>
        <v>428555.60499999998</v>
      </c>
      <c r="AW24" s="27"/>
      <c r="AX24" s="33">
        <f t="shared" si="13"/>
        <v>7650355.875370713</v>
      </c>
      <c r="AY24" s="33">
        <f t="shared" si="14"/>
        <v>2417197.7402921719</v>
      </c>
      <c r="AZ24" s="33">
        <f t="shared" si="15"/>
        <v>554774.71500000008</v>
      </c>
      <c r="BA24" s="33">
        <f t="shared" si="16"/>
        <v>10306912.931522641</v>
      </c>
      <c r="BB24" s="33">
        <f t="shared" si="17"/>
        <v>100868.13</v>
      </c>
      <c r="BC24" s="33">
        <f t="shared" si="18"/>
        <v>192000</v>
      </c>
      <c r="BD24" s="32">
        <f>SUM(AX24:BC24)</f>
        <v>21222109.392185524</v>
      </c>
      <c r="BE24" s="26"/>
      <c r="BF24" s="34">
        <f t="shared" si="20"/>
        <v>1286022.454200007</v>
      </c>
      <c r="BG24" s="34">
        <f t="shared" si="21"/>
        <v>-1083361.0690921722</v>
      </c>
      <c r="BH24" s="34">
        <f t="shared" si="22"/>
        <v>-554774.71500000008</v>
      </c>
      <c r="BI24" s="34">
        <f t="shared" si="23"/>
        <v>-5038001.1251225378</v>
      </c>
      <c r="BJ24" s="34">
        <f t="shared" si="24"/>
        <v>-100868.13</v>
      </c>
      <c r="BK24" s="34">
        <f t="shared" si="25"/>
        <v>192000</v>
      </c>
      <c r="BL24" s="34">
        <f t="shared" si="26"/>
        <v>-5298982.5850147028</v>
      </c>
      <c r="BM24" s="26"/>
      <c r="BN24" s="35">
        <f t="shared" si="27"/>
        <v>0.20206710885418161</v>
      </c>
      <c r="BO24" s="35">
        <f t="shared" si="28"/>
        <v>-0.30948232213322158</v>
      </c>
      <c r="BP24" s="35">
        <f t="shared" si="29"/>
        <v>-0.5</v>
      </c>
      <c r="BQ24" s="35">
        <f t="shared" si="30"/>
        <v>-0.32831732432810923</v>
      </c>
      <c r="BR24" s="35">
        <f t="shared" si="31"/>
        <v>-0.5</v>
      </c>
      <c r="BS24" s="35">
        <f t="shared" si="32"/>
        <v>0</v>
      </c>
      <c r="BT24" s="35">
        <f t="shared" si="33"/>
        <v>-0.19980257937984439</v>
      </c>
    </row>
    <row r="25" spans="1:72" x14ac:dyDescent="0.35">
      <c r="A25" t="s">
        <v>25</v>
      </c>
      <c r="B25" s="12">
        <f t="shared" ref="B25:H25" si="42">SUM(B5:B24)</f>
        <v>60592484.556900755</v>
      </c>
      <c r="C25" s="12">
        <f t="shared" si="42"/>
        <v>35429226.764498137</v>
      </c>
      <c r="D25" s="12">
        <f t="shared" si="42"/>
        <v>4886357.7952123573</v>
      </c>
      <c r="E25" s="12">
        <f t="shared" si="42"/>
        <v>263031087.91966569</v>
      </c>
      <c r="F25" s="12">
        <f t="shared" si="42"/>
        <v>1581668.13</v>
      </c>
      <c r="G25" s="12">
        <f t="shared" si="42"/>
        <v>6400000</v>
      </c>
      <c r="H25" s="12">
        <f t="shared" si="42"/>
        <v>371920825.16627693</v>
      </c>
      <c r="I25" s="12"/>
      <c r="J25" s="12">
        <f t="shared" ref="J25:P25" si="43">SUM(J5:J24)</f>
        <v>60592484.556900755</v>
      </c>
      <c r="K25" s="12">
        <f t="shared" si="43"/>
        <v>35429226.764498137</v>
      </c>
      <c r="L25" s="12">
        <f t="shared" si="43"/>
        <v>4886357.7952123573</v>
      </c>
      <c r="M25" s="12">
        <f t="shared" si="43"/>
        <v>263031087.91966569</v>
      </c>
      <c r="N25" s="12">
        <f t="shared" si="43"/>
        <v>1581668.13</v>
      </c>
      <c r="O25" s="12">
        <f t="shared" si="43"/>
        <v>6400000</v>
      </c>
      <c r="P25" s="12">
        <f t="shared" si="43"/>
        <v>371920825.16627693</v>
      </c>
      <c r="Q25" s="36"/>
      <c r="R25" s="12">
        <f t="shared" ref="R25:X25" si="44">SUM(R5:R24)</f>
        <v>121184969.11380151</v>
      </c>
      <c r="S25" s="12">
        <f t="shared" si="44"/>
        <v>70858453.528996274</v>
      </c>
      <c r="T25" s="12">
        <f t="shared" si="44"/>
        <v>9772715.5904247146</v>
      </c>
      <c r="U25" s="12">
        <f t="shared" si="44"/>
        <v>526062175.83933139</v>
      </c>
      <c r="V25" s="12">
        <f t="shared" si="44"/>
        <v>3163336.26</v>
      </c>
      <c r="W25" s="12">
        <f t="shared" si="44"/>
        <v>12800000</v>
      </c>
      <c r="X25" s="12">
        <f t="shared" si="44"/>
        <v>743841650.33255386</v>
      </c>
      <c r="Y25" s="36"/>
      <c r="Z25" s="12">
        <f t="shared" ref="Z25:AF25" si="45">SUM(Z5:Z24)</f>
        <v>3015768.0208799997</v>
      </c>
      <c r="AA25" s="12">
        <f t="shared" si="45"/>
        <v>1770045.0122400001</v>
      </c>
      <c r="AB25" s="12">
        <f t="shared" si="45"/>
        <v>229332</v>
      </c>
      <c r="AC25" s="12">
        <f t="shared" si="45"/>
        <v>13522882.109999999</v>
      </c>
      <c r="AD25" s="12">
        <f t="shared" si="45"/>
        <v>81452.400000000009</v>
      </c>
      <c r="AE25" s="15">
        <f t="shared" si="45"/>
        <v>384000</v>
      </c>
      <c r="AF25" s="12">
        <f t="shared" si="45"/>
        <v>19003479.543120001</v>
      </c>
      <c r="AG25" s="36"/>
      <c r="AH25" s="12">
        <f t="shared" ref="AH25:AN25" si="46">SUM(AH5:AH24)</f>
        <v>1498119.2432000069</v>
      </c>
      <c r="AI25" s="12">
        <f t="shared" si="46"/>
        <v>973773.44160000002</v>
      </c>
      <c r="AJ25" s="12">
        <f t="shared" si="46"/>
        <v>0</v>
      </c>
      <c r="AK25" s="12">
        <f t="shared" si="46"/>
        <v>5042516.9032000527</v>
      </c>
      <c r="AL25" s="12">
        <f t="shared" si="46"/>
        <v>0</v>
      </c>
      <c r="AM25" s="15">
        <f t="shared" si="46"/>
        <v>0</v>
      </c>
      <c r="AN25" s="12">
        <f t="shared" si="46"/>
        <v>7514409.5880000591</v>
      </c>
      <c r="AO25" s="36"/>
      <c r="AP25" s="12">
        <f t="shared" ref="AP25:AV25" si="47">SUM(AP5:AP24)</f>
        <v>2204919.5109999999</v>
      </c>
      <c r="AQ25" s="12">
        <f t="shared" si="47"/>
        <v>835032.69400000002</v>
      </c>
      <c r="AR25" s="12">
        <f t="shared" si="47"/>
        <v>0</v>
      </c>
      <c r="AS25" s="12">
        <f t="shared" si="47"/>
        <v>0</v>
      </c>
      <c r="AT25" s="12">
        <f t="shared" si="47"/>
        <v>0</v>
      </c>
      <c r="AU25" s="12">
        <f t="shared" si="47"/>
        <v>2292000</v>
      </c>
      <c r="AV25" s="12">
        <f t="shared" si="47"/>
        <v>5331952.2050000001</v>
      </c>
      <c r="AW25" s="36"/>
      <c r="AX25" s="12">
        <f t="shared" ref="AX25:BD25" si="48">SUM(AX5:AX24)</f>
        <v>127903775.88888152</v>
      </c>
      <c r="AY25" s="12">
        <f t="shared" si="48"/>
        <v>39008077.912338138</v>
      </c>
      <c r="AZ25" s="12">
        <f t="shared" si="48"/>
        <v>5115689.7952123564</v>
      </c>
      <c r="BA25" s="12">
        <f t="shared" si="48"/>
        <v>281596486.9328658</v>
      </c>
      <c r="BB25" s="12">
        <f t="shared" si="48"/>
        <v>1663120.5300000003</v>
      </c>
      <c r="BC25" s="12">
        <f t="shared" si="48"/>
        <v>9076000</v>
      </c>
      <c r="BD25" s="12">
        <f t="shared" si="48"/>
        <v>464363151.05929774</v>
      </c>
      <c r="BE25" s="26"/>
      <c r="BF25" s="13">
        <f t="shared" ref="BF25:BL25" si="49">SUM(BF5:BF24)</f>
        <v>6718806.7750800056</v>
      </c>
      <c r="BG25" s="13">
        <f t="shared" si="49"/>
        <v>-31850375.61665814</v>
      </c>
      <c r="BH25" s="13">
        <f t="shared" si="49"/>
        <v>-4657025.7952123573</v>
      </c>
      <c r="BI25" s="13">
        <f t="shared" si="49"/>
        <v>-244465688.90646565</v>
      </c>
      <c r="BJ25" s="13">
        <f t="shared" si="49"/>
        <v>-1500215.73</v>
      </c>
      <c r="BK25" s="13">
        <f t="shared" si="49"/>
        <v>-3724000</v>
      </c>
      <c r="BL25" s="13">
        <f t="shared" si="49"/>
        <v>-279478499.27325618</v>
      </c>
      <c r="BM25" s="26"/>
      <c r="BN25" s="28">
        <f t="shared" ref="BN25" si="50">IFERROR(BF25/R25,)</f>
        <v>5.5442575298018659E-2</v>
      </c>
      <c r="BO25" s="28">
        <f t="shared" ref="BO25" si="51">IFERROR(BG25/S25,)</f>
        <v>-0.44949295433923803</v>
      </c>
      <c r="BP25" s="28">
        <f t="shared" ref="BP25" si="52">IFERROR(BH25/T25,)</f>
        <v>-0.47653344171555562</v>
      </c>
      <c r="BQ25" s="28">
        <f t="shared" ref="BQ25" si="53">IFERROR(BI25/U25,)</f>
        <v>-0.46470873621814957</v>
      </c>
      <c r="BR25" s="28">
        <f t="shared" ref="BR25" si="54">IFERROR(BJ25/V25,)</f>
        <v>-0.47425110917547542</v>
      </c>
      <c r="BS25" s="28">
        <f t="shared" ref="BS25" si="55">IFERROR(BK25/W25,)</f>
        <v>-0.29093750000000002</v>
      </c>
      <c r="BT25" s="28">
        <f t="shared" ref="BT25" si="56">IFERROR(BL25/X25,)</f>
        <v>-0.37572311142876713</v>
      </c>
    </row>
  </sheetData>
  <autoFilter ref="A3:BU25" xr:uid="{97F7B3EB-213C-43B6-8D14-26D94DD3E009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 Report2</vt:lpstr>
      <vt:lpstr>Manpower Budget Report</vt:lpstr>
      <vt:lpstr>Manpower Budget Detailed Report</vt:lpstr>
      <vt:lpstr>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2026-07-21T05:57:50Z</dcterms:created>
  <dcterms:modified xsi:type="dcterms:W3CDTF">2026-09-29T06:20:56Z</dcterms:modified>
</cp:coreProperties>
</file>