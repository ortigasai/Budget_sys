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clpholdings-my.sharepoint.com/personal/jumalonpvp_ortigas_com_ph/Documents/Documents/Budgeting System/"/>
    </mc:Choice>
  </mc:AlternateContent>
  <xr:revisionPtr revIDLastSave="836" documentId="8_{B440BBE7-9F96-47D5-8577-254065B29B2B}" xr6:coauthVersionLast="47" xr6:coauthVersionMax="47" xr10:uidLastSave="{D7EED3A6-A3D9-4B48-B49D-761CC8BC1B90}"/>
  <bookViews>
    <workbookView xWindow="-110" yWindow="-110" windowWidth="19420" windowHeight="10300" activeTab="2" xr2:uid="{09E9E6D6-0F48-4124-9B86-4777CBE4DCA7}"/>
  </bookViews>
  <sheets>
    <sheet name="Employee List" sheetId="5" r:id="rId1"/>
    <sheet name="Computed Monthly Salary" sheetId="11" state="hidden" r:id="rId2"/>
    <sheet name="Average Salary" sheetId="6" r:id="rId3"/>
    <sheet name="Headcount per Company" sheetId="10" r:id="rId4"/>
    <sheet name="SSS" sheetId="9" state="hidden" r:id="rId5"/>
  </sheets>
  <definedNames>
    <definedName name="_xlnm._FilterDatabase" localSheetId="0" hidden="1">'Employee List'!$A$7:$F$351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7" i="10" l="1"/>
  <c r="H16" i="10"/>
  <c r="H15" i="10"/>
  <c r="H14" i="10"/>
  <c r="H13" i="10"/>
  <c r="H12" i="10"/>
  <c r="H11" i="10"/>
  <c r="H10" i="10"/>
  <c r="H9" i="10"/>
  <c r="H8" i="10"/>
  <c r="H7" i="10"/>
  <c r="H6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18" i="10" s="1"/>
  <c r="F17" i="10"/>
  <c r="F16" i="10"/>
  <c r="F15" i="10"/>
  <c r="F14" i="10"/>
  <c r="F13" i="10"/>
  <c r="F12" i="10"/>
  <c r="F11" i="10"/>
  <c r="F10" i="10"/>
  <c r="F9" i="10"/>
  <c r="F8" i="10"/>
  <c r="F7" i="10"/>
  <c r="F6" i="10"/>
  <c r="F18" i="10" s="1"/>
  <c r="D17" i="10"/>
  <c r="D16" i="10"/>
  <c r="D15" i="10"/>
  <c r="D14" i="10"/>
  <c r="D13" i="10"/>
  <c r="D12" i="10"/>
  <c r="D11" i="10"/>
  <c r="D10" i="10"/>
  <c r="D9" i="10"/>
  <c r="D8" i="10"/>
  <c r="D7" i="10"/>
  <c r="D6" i="10"/>
  <c r="C8" i="10"/>
  <c r="B8" i="10"/>
  <c r="C7" i="10"/>
  <c r="B7" i="10"/>
  <c r="C6" i="10"/>
  <c r="B6" i="10"/>
  <c r="E8" i="10"/>
  <c r="E7" i="10"/>
  <c r="E6" i="10"/>
  <c r="A9" i="10"/>
  <c r="E6" i="6"/>
  <c r="E8" i="6"/>
  <c r="E9" i="6"/>
  <c r="E10" i="6"/>
  <c r="E11" i="6"/>
  <c r="E12" i="6"/>
  <c r="F351" i="5"/>
  <c r="E351" i="5"/>
  <c r="D351" i="5"/>
  <c r="F350" i="5"/>
  <c r="E350" i="5"/>
  <c r="D350" i="5"/>
  <c r="F349" i="5"/>
  <c r="E349" i="5"/>
  <c r="D349" i="5"/>
  <c r="F348" i="5"/>
  <c r="E348" i="5"/>
  <c r="D348" i="5"/>
  <c r="F347" i="5"/>
  <c r="E347" i="5"/>
  <c r="D347" i="5"/>
  <c r="F346" i="5"/>
  <c r="E346" i="5"/>
  <c r="D346" i="5"/>
  <c r="F345" i="5"/>
  <c r="E345" i="5"/>
  <c r="D345" i="5"/>
  <c r="F344" i="5"/>
  <c r="E344" i="5"/>
  <c r="D344" i="5"/>
  <c r="F343" i="5"/>
  <c r="E343" i="5"/>
  <c r="D343" i="5"/>
  <c r="F342" i="5"/>
  <c r="E342" i="5"/>
  <c r="D342" i="5"/>
  <c r="F341" i="5"/>
  <c r="E341" i="5"/>
  <c r="D341" i="5"/>
  <c r="F340" i="5"/>
  <c r="E340" i="5"/>
  <c r="D340" i="5"/>
  <c r="F339" i="5"/>
  <c r="E339" i="5"/>
  <c r="D339" i="5"/>
  <c r="F338" i="5"/>
  <c r="E338" i="5"/>
  <c r="D338" i="5"/>
  <c r="F337" i="5"/>
  <c r="E337" i="5"/>
  <c r="D337" i="5"/>
  <c r="F336" i="5"/>
  <c r="E336" i="5"/>
  <c r="D336" i="5"/>
  <c r="F335" i="5"/>
  <c r="E335" i="5"/>
  <c r="D335" i="5"/>
  <c r="F334" i="5"/>
  <c r="E334" i="5"/>
  <c r="D334" i="5"/>
  <c r="F333" i="5"/>
  <c r="E333" i="5"/>
  <c r="D333" i="5"/>
  <c r="F327" i="5"/>
  <c r="E327" i="5"/>
  <c r="D327" i="5"/>
  <c r="F316" i="5"/>
  <c r="E316" i="5"/>
  <c r="D316" i="5"/>
  <c r="F315" i="5"/>
  <c r="E315" i="5"/>
  <c r="D315" i="5"/>
  <c r="F313" i="5"/>
  <c r="E313" i="5"/>
  <c r="D313" i="5"/>
  <c r="F284" i="5"/>
  <c r="E284" i="5"/>
  <c r="D284" i="5"/>
  <c r="F247" i="5"/>
  <c r="E247" i="5"/>
  <c r="D247" i="5"/>
  <c r="F246" i="5"/>
  <c r="E246" i="5"/>
  <c r="D246" i="5"/>
  <c r="F234" i="5"/>
  <c r="E234" i="5"/>
  <c r="D234" i="5"/>
  <c r="F233" i="5"/>
  <c r="E233" i="5"/>
  <c r="D233" i="5"/>
  <c r="F221" i="5"/>
  <c r="E221" i="5"/>
  <c r="D221" i="5"/>
  <c r="F219" i="5"/>
  <c r="E219" i="5"/>
  <c r="D219" i="5"/>
  <c r="F206" i="5"/>
  <c r="E206" i="5"/>
  <c r="D206" i="5"/>
  <c r="F200" i="5"/>
  <c r="E200" i="5"/>
  <c r="D200" i="5"/>
  <c r="F191" i="5"/>
  <c r="E191" i="5"/>
  <c r="D191" i="5"/>
  <c r="F187" i="5"/>
  <c r="E187" i="5"/>
  <c r="D187" i="5"/>
  <c r="F184" i="5"/>
  <c r="E184" i="5"/>
  <c r="D184" i="5"/>
  <c r="F183" i="5"/>
  <c r="E183" i="5"/>
  <c r="D183" i="5"/>
  <c r="F169" i="5"/>
  <c r="E169" i="5"/>
  <c r="D169" i="5"/>
  <c r="F162" i="5"/>
  <c r="E162" i="5"/>
  <c r="D162" i="5"/>
  <c r="F157" i="5"/>
  <c r="E157" i="5"/>
  <c r="D157" i="5"/>
  <c r="F156" i="5"/>
  <c r="E156" i="5"/>
  <c r="D156" i="5"/>
  <c r="F153" i="5"/>
  <c r="E153" i="5"/>
  <c r="D153" i="5"/>
  <c r="F149" i="5"/>
  <c r="E149" i="5"/>
  <c r="D149" i="5"/>
  <c r="F126" i="5"/>
  <c r="E126" i="5"/>
  <c r="D126" i="5"/>
  <c r="F125" i="5"/>
  <c r="E125" i="5"/>
  <c r="D125" i="5"/>
  <c r="F122" i="5"/>
  <c r="E122" i="5"/>
  <c r="D122" i="5"/>
  <c r="F120" i="5"/>
  <c r="E120" i="5"/>
  <c r="D120" i="5"/>
  <c r="F117" i="5"/>
  <c r="E117" i="5"/>
  <c r="D117" i="5"/>
  <c r="F114" i="5"/>
  <c r="E114" i="5"/>
  <c r="D114" i="5"/>
  <c r="F111" i="5"/>
  <c r="E111" i="5"/>
  <c r="D111" i="5"/>
  <c r="F108" i="5"/>
  <c r="E108" i="5"/>
  <c r="D108" i="5"/>
  <c r="F101" i="5"/>
  <c r="E101" i="5"/>
  <c r="D101" i="5"/>
  <c r="F94" i="5"/>
  <c r="E94" i="5"/>
  <c r="D94" i="5"/>
  <c r="F93" i="5"/>
  <c r="E93" i="5"/>
  <c r="D93" i="5"/>
  <c r="F89" i="5"/>
  <c r="E89" i="5"/>
  <c r="D89" i="5"/>
  <c r="F84" i="5"/>
  <c r="E84" i="5"/>
  <c r="D84" i="5"/>
  <c r="F83" i="5"/>
  <c r="E83" i="5"/>
  <c r="D83" i="5"/>
  <c r="F81" i="5"/>
  <c r="E81" i="5"/>
  <c r="D81" i="5"/>
  <c r="F75" i="5"/>
  <c r="E75" i="5"/>
  <c r="D75" i="5"/>
  <c r="F73" i="5"/>
  <c r="E73" i="5"/>
  <c r="D73" i="5"/>
  <c r="F71" i="5"/>
  <c r="E71" i="5"/>
  <c r="D71" i="5"/>
  <c r="F70" i="5"/>
  <c r="E70" i="5"/>
  <c r="D70" i="5"/>
  <c r="F67" i="5"/>
  <c r="E67" i="5"/>
  <c r="D67" i="5"/>
  <c r="F65" i="5"/>
  <c r="E65" i="5"/>
  <c r="D65" i="5"/>
  <c r="F64" i="5"/>
  <c r="E64" i="5"/>
  <c r="D64" i="5"/>
  <c r="F63" i="5"/>
  <c r="E63" i="5"/>
  <c r="D63" i="5"/>
  <c r="F61" i="5"/>
  <c r="E61" i="5"/>
  <c r="D61" i="5"/>
  <c r="F58" i="5"/>
  <c r="E58" i="5"/>
  <c r="D58" i="5"/>
  <c r="F55" i="5"/>
  <c r="E55" i="5"/>
  <c r="D55" i="5"/>
  <c r="F52" i="5"/>
  <c r="E52" i="5"/>
  <c r="D52" i="5"/>
  <c r="F46" i="5"/>
  <c r="E46" i="5"/>
  <c r="D46" i="5"/>
  <c r="F45" i="5"/>
  <c r="E45" i="5"/>
  <c r="D45" i="5"/>
  <c r="F43" i="5"/>
  <c r="E43" i="5"/>
  <c r="D43" i="5"/>
  <c r="F40" i="5"/>
  <c r="E40" i="5"/>
  <c r="D40" i="5"/>
  <c r="F39" i="5"/>
  <c r="E39" i="5"/>
  <c r="D39" i="5"/>
  <c r="F38" i="5"/>
  <c r="E38" i="5"/>
  <c r="D38" i="5"/>
  <c r="F36" i="5"/>
  <c r="E36" i="5"/>
  <c r="D36" i="5"/>
  <c r="F34" i="5"/>
  <c r="E34" i="5"/>
  <c r="D34" i="5"/>
  <c r="F33" i="5"/>
  <c r="E33" i="5"/>
  <c r="D33" i="5"/>
  <c r="F32" i="5"/>
  <c r="E32" i="5"/>
  <c r="D32" i="5"/>
  <c r="F28" i="5"/>
  <c r="E28" i="5"/>
  <c r="D28" i="5"/>
  <c r="F25" i="5"/>
  <c r="E25" i="5"/>
  <c r="D25" i="5"/>
  <c r="F24" i="5"/>
  <c r="E24" i="5"/>
  <c r="D24" i="5"/>
  <c r="F23" i="5"/>
  <c r="E23" i="5"/>
  <c r="D23" i="5"/>
  <c r="F21" i="5"/>
  <c r="E21" i="5"/>
  <c r="D21" i="5"/>
  <c r="F16" i="5"/>
  <c r="E16" i="5"/>
  <c r="D16" i="5"/>
  <c r="F15" i="5"/>
  <c r="E15" i="5"/>
  <c r="D15" i="5"/>
  <c r="F13" i="5"/>
  <c r="E13" i="5"/>
  <c r="D13" i="5"/>
  <c r="F11" i="5"/>
  <c r="E11" i="5"/>
  <c r="D11" i="5"/>
  <c r="F10" i="5"/>
  <c r="E10" i="5"/>
  <c r="D10" i="5"/>
  <c r="F9" i="5"/>
  <c r="E9" i="5"/>
  <c r="D9" i="5"/>
  <c r="F8" i="5"/>
  <c r="D8" i="5"/>
  <c r="E8" i="5"/>
  <c r="C351" i="5"/>
  <c r="C350" i="5"/>
  <c r="C349" i="5"/>
  <c r="C348" i="5"/>
  <c r="C347" i="5"/>
  <c r="C346" i="5"/>
  <c r="C345" i="5"/>
  <c r="C344" i="5"/>
  <c r="C343" i="5"/>
  <c r="C342" i="5"/>
  <c r="C341" i="5"/>
  <c r="C340" i="5"/>
  <c r="C339" i="5"/>
  <c r="C338" i="5"/>
  <c r="C337" i="5"/>
  <c r="C336" i="5"/>
  <c r="C335" i="5"/>
  <c r="C334" i="5"/>
  <c r="C333" i="5"/>
  <c r="G66" i="9"/>
  <c r="F66" i="9"/>
  <c r="E66" i="9"/>
  <c r="H66" i="9" s="1"/>
  <c r="G65" i="9"/>
  <c r="F65" i="9"/>
  <c r="E65" i="9"/>
  <c r="H65" i="9" s="1"/>
  <c r="G64" i="9"/>
  <c r="F64" i="9"/>
  <c r="E64" i="9"/>
  <c r="H64" i="9" s="1"/>
  <c r="G63" i="9"/>
  <c r="F63" i="9"/>
  <c r="E63" i="9"/>
  <c r="H63" i="9" s="1"/>
  <c r="G62" i="9"/>
  <c r="F62" i="9"/>
  <c r="E62" i="9"/>
  <c r="H62" i="9" s="1"/>
  <c r="G61" i="9"/>
  <c r="F61" i="9"/>
  <c r="E61" i="9"/>
  <c r="H61" i="9" s="1"/>
  <c r="G60" i="9"/>
  <c r="F60" i="9"/>
  <c r="E60" i="9"/>
  <c r="H60" i="9" s="1"/>
  <c r="G59" i="9"/>
  <c r="F59" i="9"/>
  <c r="E59" i="9"/>
  <c r="H59" i="9" s="1"/>
  <c r="G58" i="9"/>
  <c r="F58" i="9"/>
  <c r="E58" i="9"/>
  <c r="H58" i="9" s="1"/>
  <c r="G57" i="9"/>
  <c r="F57" i="9"/>
  <c r="E57" i="9"/>
  <c r="H57" i="9" s="1"/>
  <c r="G56" i="9"/>
  <c r="F56" i="9"/>
  <c r="E56" i="9"/>
  <c r="H56" i="9" s="1"/>
  <c r="G55" i="9"/>
  <c r="F55" i="9"/>
  <c r="E55" i="9"/>
  <c r="H55" i="9" s="1"/>
  <c r="G54" i="9"/>
  <c r="F54" i="9"/>
  <c r="E54" i="9"/>
  <c r="H54" i="9" s="1"/>
  <c r="G53" i="9"/>
  <c r="F53" i="9"/>
  <c r="E53" i="9"/>
  <c r="H53" i="9" s="1"/>
  <c r="G52" i="9"/>
  <c r="F52" i="9"/>
  <c r="E52" i="9"/>
  <c r="H52" i="9" s="1"/>
  <c r="G51" i="9"/>
  <c r="F51" i="9"/>
  <c r="E51" i="9"/>
  <c r="H51" i="9" s="1"/>
  <c r="G50" i="9"/>
  <c r="F50" i="9"/>
  <c r="E50" i="9"/>
  <c r="H50" i="9" s="1"/>
  <c r="G49" i="9"/>
  <c r="F49" i="9"/>
  <c r="E49" i="9"/>
  <c r="H49" i="9" s="1"/>
  <c r="G48" i="9"/>
  <c r="F48" i="9"/>
  <c r="E48" i="9"/>
  <c r="H48" i="9" s="1"/>
  <c r="G47" i="9"/>
  <c r="F47" i="9"/>
  <c r="E47" i="9"/>
  <c r="H47" i="9" s="1"/>
  <c r="G46" i="9"/>
  <c r="F46" i="9"/>
  <c r="E46" i="9"/>
  <c r="H46" i="9" s="1"/>
  <c r="G45" i="9"/>
  <c r="F45" i="9"/>
  <c r="E45" i="9"/>
  <c r="H45" i="9" s="1"/>
  <c r="G44" i="9"/>
  <c r="F44" i="9"/>
  <c r="E44" i="9"/>
  <c r="H44" i="9" s="1"/>
  <c r="G43" i="9"/>
  <c r="F43" i="9"/>
  <c r="E43" i="9"/>
  <c r="H43" i="9" s="1"/>
  <c r="G42" i="9"/>
  <c r="F42" i="9"/>
  <c r="E42" i="9"/>
  <c r="H42" i="9" s="1"/>
  <c r="G41" i="9"/>
  <c r="F41" i="9"/>
  <c r="E41" i="9"/>
  <c r="H41" i="9" s="1"/>
  <c r="G40" i="9"/>
  <c r="F40" i="9"/>
  <c r="E40" i="9"/>
  <c r="H40" i="9" s="1"/>
  <c r="G39" i="9"/>
  <c r="F39" i="9"/>
  <c r="E39" i="9"/>
  <c r="H39" i="9" s="1"/>
  <c r="G38" i="9"/>
  <c r="F38" i="9"/>
  <c r="E38" i="9"/>
  <c r="H38" i="9" s="1"/>
  <c r="I38" i="9" s="1"/>
  <c r="G37" i="9"/>
  <c r="F37" i="9"/>
  <c r="E37" i="9"/>
  <c r="H37" i="9" s="1"/>
  <c r="G36" i="9"/>
  <c r="F36" i="9"/>
  <c r="E36" i="9"/>
  <c r="H36" i="9" s="1"/>
  <c r="G35" i="9"/>
  <c r="F35" i="9"/>
  <c r="E35" i="9"/>
  <c r="H35" i="9" s="1"/>
  <c r="G34" i="9"/>
  <c r="F34" i="9"/>
  <c r="E34" i="9"/>
  <c r="H34" i="9" s="1"/>
  <c r="G33" i="9"/>
  <c r="F33" i="9"/>
  <c r="E33" i="9"/>
  <c r="H33" i="9" s="1"/>
  <c r="G32" i="9"/>
  <c r="F32" i="9"/>
  <c r="E32" i="9"/>
  <c r="H32" i="9" s="1"/>
  <c r="G31" i="9"/>
  <c r="F31" i="9"/>
  <c r="E31" i="9"/>
  <c r="H31" i="9" s="1"/>
  <c r="G30" i="9"/>
  <c r="F30" i="9"/>
  <c r="E30" i="9"/>
  <c r="H30" i="9" s="1"/>
  <c r="G29" i="9"/>
  <c r="F29" i="9"/>
  <c r="E29" i="9"/>
  <c r="H29" i="9" s="1"/>
  <c r="G28" i="9"/>
  <c r="F28" i="9"/>
  <c r="E28" i="9"/>
  <c r="H28" i="9" s="1"/>
  <c r="G27" i="9"/>
  <c r="F27" i="9"/>
  <c r="E27" i="9"/>
  <c r="H27" i="9" s="1"/>
  <c r="G26" i="9"/>
  <c r="F26" i="9"/>
  <c r="E26" i="9"/>
  <c r="H26" i="9" s="1"/>
  <c r="G25" i="9"/>
  <c r="F25" i="9"/>
  <c r="E25" i="9"/>
  <c r="H25" i="9" s="1"/>
  <c r="G24" i="9"/>
  <c r="F24" i="9"/>
  <c r="E24" i="9"/>
  <c r="H24" i="9" s="1"/>
  <c r="G23" i="9"/>
  <c r="F23" i="9"/>
  <c r="E23" i="9"/>
  <c r="H23" i="9" s="1"/>
  <c r="I23" i="9" s="1"/>
  <c r="G22" i="9"/>
  <c r="F22" i="9"/>
  <c r="E22" i="9"/>
  <c r="H22" i="9" s="1"/>
  <c r="G21" i="9"/>
  <c r="F21" i="9"/>
  <c r="E21" i="9"/>
  <c r="H21" i="9" s="1"/>
  <c r="G20" i="9"/>
  <c r="F20" i="9"/>
  <c r="E20" i="9"/>
  <c r="H20" i="9" s="1"/>
  <c r="G19" i="9"/>
  <c r="F19" i="9"/>
  <c r="E19" i="9"/>
  <c r="H19" i="9" s="1"/>
  <c r="G18" i="9"/>
  <c r="F18" i="9"/>
  <c r="E18" i="9"/>
  <c r="H18" i="9" s="1"/>
  <c r="G17" i="9"/>
  <c r="F17" i="9"/>
  <c r="E17" i="9"/>
  <c r="H17" i="9" s="1"/>
  <c r="G16" i="9"/>
  <c r="F16" i="9"/>
  <c r="E16" i="9"/>
  <c r="H16" i="9" s="1"/>
  <c r="I16" i="9" s="1"/>
  <c r="G15" i="9"/>
  <c r="F15" i="9"/>
  <c r="E15" i="9"/>
  <c r="H15" i="9" s="1"/>
  <c r="G14" i="9"/>
  <c r="F14" i="9"/>
  <c r="E14" i="9"/>
  <c r="H14" i="9" s="1"/>
  <c r="G13" i="9"/>
  <c r="F13" i="9"/>
  <c r="E13" i="9"/>
  <c r="H13" i="9" s="1"/>
  <c r="G12" i="9"/>
  <c r="F12" i="9"/>
  <c r="E12" i="9"/>
  <c r="H12" i="9" s="1"/>
  <c r="G11" i="9"/>
  <c r="F11" i="9"/>
  <c r="E11" i="9"/>
  <c r="H11" i="9" s="1"/>
  <c r="G10" i="9"/>
  <c r="F10" i="9"/>
  <c r="E10" i="9"/>
  <c r="H10" i="9" s="1"/>
  <c r="G9" i="9"/>
  <c r="F9" i="9"/>
  <c r="E9" i="9"/>
  <c r="H9" i="9" s="1"/>
  <c r="G8" i="9"/>
  <c r="F8" i="9"/>
  <c r="E8" i="9"/>
  <c r="H8" i="9" s="1"/>
  <c r="G7" i="9"/>
  <c r="F7" i="9"/>
  <c r="E7" i="9"/>
  <c r="H7" i="9" s="1"/>
  <c r="G6" i="9"/>
  <c r="F6" i="9"/>
  <c r="E6" i="9"/>
  <c r="H6" i="9" s="1"/>
  <c r="C327" i="5"/>
  <c r="C316" i="5"/>
  <c r="C315" i="5"/>
  <c r="C313" i="5"/>
  <c r="C284" i="5"/>
  <c r="C247" i="5"/>
  <c r="C246" i="5"/>
  <c r="C234" i="5"/>
  <c r="C233" i="5"/>
  <c r="C221" i="5"/>
  <c r="C219" i="5"/>
  <c r="C206" i="5"/>
  <c r="C200" i="5"/>
  <c r="C191" i="5"/>
  <c r="C187" i="5"/>
  <c r="C184" i="5"/>
  <c r="C183" i="5"/>
  <c r="C169" i="5"/>
  <c r="C162" i="5"/>
  <c r="C157" i="5"/>
  <c r="C156" i="5"/>
  <c r="C153" i="5"/>
  <c r="C149" i="5"/>
  <c r="C126" i="5"/>
  <c r="C125" i="5"/>
  <c r="C122" i="5"/>
  <c r="C120" i="5"/>
  <c r="C117" i="5"/>
  <c r="C114" i="5"/>
  <c r="C111" i="5"/>
  <c r="C108" i="5"/>
  <c r="C101" i="5"/>
  <c r="C94" i="5"/>
  <c r="C93" i="5"/>
  <c r="C89" i="5"/>
  <c r="C84" i="5"/>
  <c r="C83" i="5"/>
  <c r="C81" i="5"/>
  <c r="C75" i="5"/>
  <c r="C73" i="5"/>
  <c r="C71" i="5"/>
  <c r="C70" i="5"/>
  <c r="C67" i="5"/>
  <c r="C65" i="5"/>
  <c r="C64" i="5"/>
  <c r="C63" i="5"/>
  <c r="C61" i="5"/>
  <c r="C58" i="5"/>
  <c r="C55" i="5"/>
  <c r="C52" i="5"/>
  <c r="C46" i="5"/>
  <c r="C45" i="5"/>
  <c r="C43" i="5"/>
  <c r="C40" i="5"/>
  <c r="C39" i="5"/>
  <c r="C38" i="5"/>
  <c r="C36" i="5"/>
  <c r="C34" i="5"/>
  <c r="C33" i="5"/>
  <c r="C32" i="5"/>
  <c r="C28" i="5"/>
  <c r="C25" i="5"/>
  <c r="C24" i="5"/>
  <c r="C23" i="5"/>
  <c r="C21" i="5"/>
  <c r="C16" i="5"/>
  <c r="C15" i="5"/>
  <c r="C13" i="5"/>
  <c r="C11" i="5"/>
  <c r="C10" i="5"/>
  <c r="C9" i="5"/>
  <c r="C8" i="5"/>
  <c r="A9" i="6"/>
  <c r="D18" i="10" l="1"/>
  <c r="A10" i="10"/>
  <c r="C9" i="10"/>
  <c r="B9" i="10"/>
  <c r="E9" i="10"/>
  <c r="A10" i="6"/>
  <c r="A11" i="6" s="1"/>
  <c r="A12" i="6" s="1"/>
  <c r="A13" i="6" s="1"/>
  <c r="A14" i="6" s="1"/>
  <c r="A15" i="6" s="1"/>
  <c r="A16" i="6" s="1"/>
  <c r="A17" i="6" s="1"/>
  <c r="F332" i="5"/>
  <c r="E332" i="5"/>
  <c r="D332" i="5"/>
  <c r="F331" i="5"/>
  <c r="E331" i="5"/>
  <c r="D331" i="5"/>
  <c r="F330" i="5"/>
  <c r="E330" i="5"/>
  <c r="D330" i="5"/>
  <c r="F329" i="5"/>
  <c r="E329" i="5"/>
  <c r="D329" i="5"/>
  <c r="F328" i="5"/>
  <c r="E328" i="5"/>
  <c r="D328" i="5"/>
  <c r="F326" i="5"/>
  <c r="E326" i="5"/>
  <c r="D326" i="5"/>
  <c r="F325" i="5"/>
  <c r="E325" i="5"/>
  <c r="D325" i="5"/>
  <c r="F324" i="5"/>
  <c r="E324" i="5"/>
  <c r="D324" i="5"/>
  <c r="F323" i="5"/>
  <c r="E323" i="5"/>
  <c r="D323" i="5"/>
  <c r="F322" i="5"/>
  <c r="E322" i="5"/>
  <c r="D322" i="5"/>
  <c r="F321" i="5"/>
  <c r="E321" i="5"/>
  <c r="D321" i="5"/>
  <c r="F320" i="5"/>
  <c r="E320" i="5"/>
  <c r="D320" i="5"/>
  <c r="F319" i="5"/>
  <c r="E319" i="5"/>
  <c r="D319" i="5"/>
  <c r="F318" i="5"/>
  <c r="E318" i="5"/>
  <c r="D318" i="5"/>
  <c r="F317" i="5"/>
  <c r="E317" i="5"/>
  <c r="D317" i="5"/>
  <c r="F314" i="5"/>
  <c r="E314" i="5"/>
  <c r="D314" i="5"/>
  <c r="F312" i="5"/>
  <c r="E312" i="5"/>
  <c r="D312" i="5"/>
  <c r="F311" i="5"/>
  <c r="E311" i="5"/>
  <c r="D311" i="5"/>
  <c r="F310" i="5"/>
  <c r="E310" i="5"/>
  <c r="D310" i="5"/>
  <c r="F309" i="5"/>
  <c r="E309" i="5"/>
  <c r="D309" i="5"/>
  <c r="F308" i="5"/>
  <c r="E308" i="5"/>
  <c r="D308" i="5"/>
  <c r="F307" i="5"/>
  <c r="E307" i="5"/>
  <c r="D307" i="5"/>
  <c r="F306" i="5"/>
  <c r="E306" i="5"/>
  <c r="D306" i="5"/>
  <c r="F305" i="5"/>
  <c r="E305" i="5"/>
  <c r="D305" i="5"/>
  <c r="F304" i="5"/>
  <c r="E304" i="5"/>
  <c r="D304" i="5"/>
  <c r="F303" i="5"/>
  <c r="E303" i="5"/>
  <c r="D303" i="5"/>
  <c r="F302" i="5"/>
  <c r="E302" i="5"/>
  <c r="D302" i="5"/>
  <c r="F301" i="5"/>
  <c r="E301" i="5"/>
  <c r="D301" i="5"/>
  <c r="F300" i="5"/>
  <c r="E300" i="5"/>
  <c r="D300" i="5"/>
  <c r="F299" i="5"/>
  <c r="E299" i="5"/>
  <c r="D299" i="5"/>
  <c r="F298" i="5"/>
  <c r="E298" i="5"/>
  <c r="D298" i="5"/>
  <c r="F297" i="5"/>
  <c r="E297" i="5"/>
  <c r="D297" i="5"/>
  <c r="F296" i="5"/>
  <c r="E296" i="5"/>
  <c r="D296" i="5"/>
  <c r="F295" i="5"/>
  <c r="E295" i="5"/>
  <c r="D295" i="5"/>
  <c r="F294" i="5"/>
  <c r="E294" i="5"/>
  <c r="D294" i="5"/>
  <c r="F293" i="5"/>
  <c r="E293" i="5"/>
  <c r="D293" i="5"/>
  <c r="F292" i="5"/>
  <c r="E292" i="5"/>
  <c r="D292" i="5"/>
  <c r="F291" i="5"/>
  <c r="E291" i="5"/>
  <c r="D291" i="5"/>
  <c r="F290" i="5"/>
  <c r="E290" i="5"/>
  <c r="D290" i="5"/>
  <c r="F289" i="5"/>
  <c r="E289" i="5"/>
  <c r="D289" i="5"/>
  <c r="F288" i="5"/>
  <c r="E288" i="5"/>
  <c r="D288" i="5"/>
  <c r="F287" i="5"/>
  <c r="E287" i="5"/>
  <c r="D287" i="5"/>
  <c r="F286" i="5"/>
  <c r="E286" i="5"/>
  <c r="D286" i="5"/>
  <c r="F285" i="5"/>
  <c r="E285" i="5"/>
  <c r="D285" i="5"/>
  <c r="F283" i="5"/>
  <c r="E283" i="5"/>
  <c r="D283" i="5"/>
  <c r="F282" i="5"/>
  <c r="E282" i="5"/>
  <c r="D282" i="5"/>
  <c r="F281" i="5"/>
  <c r="E281" i="5"/>
  <c r="D281" i="5"/>
  <c r="F280" i="5"/>
  <c r="E280" i="5"/>
  <c r="D280" i="5"/>
  <c r="F279" i="5"/>
  <c r="E279" i="5"/>
  <c r="D279" i="5"/>
  <c r="F278" i="5"/>
  <c r="E278" i="5"/>
  <c r="D278" i="5"/>
  <c r="F277" i="5"/>
  <c r="E277" i="5"/>
  <c r="D277" i="5"/>
  <c r="F276" i="5"/>
  <c r="E276" i="5"/>
  <c r="D276" i="5"/>
  <c r="F275" i="5"/>
  <c r="E275" i="5"/>
  <c r="D275" i="5"/>
  <c r="F274" i="5"/>
  <c r="E274" i="5"/>
  <c r="D274" i="5"/>
  <c r="F273" i="5"/>
  <c r="E273" i="5"/>
  <c r="D273" i="5"/>
  <c r="F272" i="5"/>
  <c r="E272" i="5"/>
  <c r="D272" i="5"/>
  <c r="F271" i="5"/>
  <c r="E271" i="5"/>
  <c r="D271" i="5"/>
  <c r="F270" i="5"/>
  <c r="E270" i="5"/>
  <c r="D270" i="5"/>
  <c r="F269" i="5"/>
  <c r="E269" i="5"/>
  <c r="D269" i="5"/>
  <c r="F268" i="5"/>
  <c r="E268" i="5"/>
  <c r="D268" i="5"/>
  <c r="F267" i="5"/>
  <c r="E267" i="5"/>
  <c r="D267" i="5"/>
  <c r="F266" i="5"/>
  <c r="E266" i="5"/>
  <c r="D266" i="5"/>
  <c r="F265" i="5"/>
  <c r="E265" i="5"/>
  <c r="D265" i="5"/>
  <c r="F264" i="5"/>
  <c r="E264" i="5"/>
  <c r="D264" i="5"/>
  <c r="F263" i="5"/>
  <c r="E263" i="5"/>
  <c r="D263" i="5"/>
  <c r="F262" i="5"/>
  <c r="E262" i="5"/>
  <c r="D262" i="5"/>
  <c r="F261" i="5"/>
  <c r="E261" i="5"/>
  <c r="D261" i="5"/>
  <c r="F260" i="5"/>
  <c r="E260" i="5"/>
  <c r="D260" i="5"/>
  <c r="F259" i="5"/>
  <c r="E259" i="5"/>
  <c r="D259" i="5"/>
  <c r="F258" i="5"/>
  <c r="E258" i="5"/>
  <c r="D258" i="5"/>
  <c r="F257" i="5"/>
  <c r="E257" i="5"/>
  <c r="D257" i="5"/>
  <c r="F256" i="5"/>
  <c r="E256" i="5"/>
  <c r="D256" i="5"/>
  <c r="F255" i="5"/>
  <c r="E255" i="5"/>
  <c r="D255" i="5"/>
  <c r="F254" i="5"/>
  <c r="E254" i="5"/>
  <c r="D254" i="5"/>
  <c r="F253" i="5"/>
  <c r="E253" i="5"/>
  <c r="D253" i="5"/>
  <c r="F252" i="5"/>
  <c r="E252" i="5"/>
  <c r="D252" i="5"/>
  <c r="F251" i="5"/>
  <c r="E251" i="5"/>
  <c r="D251" i="5"/>
  <c r="F250" i="5"/>
  <c r="E250" i="5"/>
  <c r="D250" i="5"/>
  <c r="F249" i="5"/>
  <c r="E249" i="5"/>
  <c r="D249" i="5"/>
  <c r="F248" i="5"/>
  <c r="E248" i="5"/>
  <c r="D248" i="5"/>
  <c r="F245" i="5"/>
  <c r="E245" i="5"/>
  <c r="D245" i="5"/>
  <c r="F244" i="5"/>
  <c r="E244" i="5"/>
  <c r="D244" i="5"/>
  <c r="F243" i="5"/>
  <c r="E243" i="5"/>
  <c r="D243" i="5"/>
  <c r="F242" i="5"/>
  <c r="E242" i="5"/>
  <c r="D242" i="5"/>
  <c r="F241" i="5"/>
  <c r="E241" i="5"/>
  <c r="D241" i="5"/>
  <c r="F240" i="5"/>
  <c r="E240" i="5"/>
  <c r="D240" i="5"/>
  <c r="F239" i="5"/>
  <c r="E239" i="5"/>
  <c r="D239" i="5"/>
  <c r="F238" i="5"/>
  <c r="E238" i="5"/>
  <c r="D238" i="5"/>
  <c r="F237" i="5"/>
  <c r="E237" i="5"/>
  <c r="D237" i="5"/>
  <c r="F236" i="5"/>
  <c r="E236" i="5"/>
  <c r="D236" i="5"/>
  <c r="F235" i="5"/>
  <c r="E235" i="5"/>
  <c r="D235" i="5"/>
  <c r="F232" i="5"/>
  <c r="E232" i="5"/>
  <c r="D232" i="5"/>
  <c r="F231" i="5"/>
  <c r="E231" i="5"/>
  <c r="D231" i="5"/>
  <c r="F230" i="5"/>
  <c r="E230" i="5"/>
  <c r="D230" i="5"/>
  <c r="F229" i="5"/>
  <c r="E229" i="5"/>
  <c r="D229" i="5"/>
  <c r="F228" i="5"/>
  <c r="E228" i="5"/>
  <c r="D228" i="5"/>
  <c r="F227" i="5"/>
  <c r="E227" i="5"/>
  <c r="D227" i="5"/>
  <c r="F226" i="5"/>
  <c r="E226" i="5"/>
  <c r="D226" i="5"/>
  <c r="F225" i="5"/>
  <c r="E225" i="5"/>
  <c r="D225" i="5"/>
  <c r="F224" i="5"/>
  <c r="E224" i="5"/>
  <c r="D224" i="5"/>
  <c r="F223" i="5"/>
  <c r="E223" i="5"/>
  <c r="D223" i="5"/>
  <c r="F222" i="5"/>
  <c r="E222" i="5"/>
  <c r="D222" i="5"/>
  <c r="F220" i="5"/>
  <c r="E220" i="5"/>
  <c r="D220" i="5"/>
  <c r="F218" i="5"/>
  <c r="D80" i="5"/>
  <c r="C307" i="5"/>
  <c r="C302" i="5"/>
  <c r="C297" i="5"/>
  <c r="C291" i="5"/>
  <c r="C285" i="5"/>
  <c r="C280" i="5"/>
  <c r="C273" i="5"/>
  <c r="C266" i="5"/>
  <c r="C260" i="5"/>
  <c r="C254" i="5"/>
  <c r="C249" i="5"/>
  <c r="C242" i="5"/>
  <c r="C236" i="5"/>
  <c r="C230" i="5"/>
  <c r="C223" i="5"/>
  <c r="C216" i="5"/>
  <c r="C192" i="5"/>
  <c r="C185" i="5"/>
  <c r="C178" i="5"/>
  <c r="C171" i="5"/>
  <c r="C154" i="5"/>
  <c r="C148" i="5"/>
  <c r="C140" i="5"/>
  <c r="C133" i="5"/>
  <c r="C118" i="5"/>
  <c r="C112" i="5"/>
  <c r="C105" i="5"/>
  <c r="C97" i="5"/>
  <c r="C90" i="5"/>
  <c r="C68" i="5"/>
  <c r="C48" i="5"/>
  <c r="C42" i="5"/>
  <c r="C35" i="5"/>
  <c r="C29" i="5"/>
  <c r="C22" i="5"/>
  <c r="E218" i="5"/>
  <c r="D218" i="5"/>
  <c r="F217" i="5"/>
  <c r="E217" i="5"/>
  <c r="D217" i="5"/>
  <c r="F216" i="5"/>
  <c r="E216" i="5"/>
  <c r="D216" i="5"/>
  <c r="F215" i="5"/>
  <c r="E215" i="5"/>
  <c r="D215" i="5"/>
  <c r="F214" i="5"/>
  <c r="E214" i="5"/>
  <c r="D214" i="5"/>
  <c r="F213" i="5"/>
  <c r="E213" i="5"/>
  <c r="D213" i="5"/>
  <c r="F212" i="5"/>
  <c r="E212" i="5"/>
  <c r="D212" i="5"/>
  <c r="F211" i="5"/>
  <c r="E211" i="5"/>
  <c r="D211" i="5"/>
  <c r="F210" i="5"/>
  <c r="E210" i="5"/>
  <c r="D210" i="5"/>
  <c r="F209" i="5"/>
  <c r="E209" i="5"/>
  <c r="D209" i="5"/>
  <c r="F208" i="5"/>
  <c r="E208" i="5"/>
  <c r="D208" i="5"/>
  <c r="F207" i="5"/>
  <c r="E207" i="5"/>
  <c r="D207" i="5"/>
  <c r="F205" i="5"/>
  <c r="E205" i="5"/>
  <c r="D205" i="5"/>
  <c r="F204" i="5"/>
  <c r="E204" i="5"/>
  <c r="D204" i="5"/>
  <c r="F203" i="5"/>
  <c r="E203" i="5"/>
  <c r="D203" i="5"/>
  <c r="F202" i="5"/>
  <c r="E202" i="5"/>
  <c r="D202" i="5"/>
  <c r="F201" i="5"/>
  <c r="E201" i="5"/>
  <c r="D201" i="5"/>
  <c r="F199" i="5"/>
  <c r="E199" i="5"/>
  <c r="D199" i="5"/>
  <c r="F198" i="5"/>
  <c r="E198" i="5"/>
  <c r="D198" i="5"/>
  <c r="F197" i="5"/>
  <c r="E197" i="5"/>
  <c r="D197" i="5"/>
  <c r="F196" i="5"/>
  <c r="E196" i="5"/>
  <c r="D196" i="5"/>
  <c r="F195" i="5"/>
  <c r="E195" i="5"/>
  <c r="D195" i="5"/>
  <c r="F194" i="5"/>
  <c r="E194" i="5"/>
  <c r="D194" i="5"/>
  <c r="F193" i="5"/>
  <c r="E193" i="5"/>
  <c r="D193" i="5"/>
  <c r="F192" i="5"/>
  <c r="E192" i="5"/>
  <c r="D192" i="5"/>
  <c r="F190" i="5"/>
  <c r="E190" i="5"/>
  <c r="D190" i="5"/>
  <c r="F189" i="5"/>
  <c r="E189" i="5"/>
  <c r="D189" i="5"/>
  <c r="F188" i="5"/>
  <c r="E188" i="5"/>
  <c r="D188" i="5"/>
  <c r="F186" i="5"/>
  <c r="E186" i="5"/>
  <c r="D186" i="5"/>
  <c r="F185" i="5"/>
  <c r="E185" i="5"/>
  <c r="D185" i="5"/>
  <c r="F182" i="5"/>
  <c r="E182" i="5"/>
  <c r="D182" i="5"/>
  <c r="F181" i="5"/>
  <c r="E181" i="5"/>
  <c r="D181" i="5"/>
  <c r="F180" i="5"/>
  <c r="E180" i="5"/>
  <c r="D180" i="5"/>
  <c r="F179" i="5"/>
  <c r="E179" i="5"/>
  <c r="D179" i="5"/>
  <c r="F178" i="5"/>
  <c r="E178" i="5"/>
  <c r="D178" i="5"/>
  <c r="F177" i="5"/>
  <c r="E177" i="5"/>
  <c r="D177" i="5"/>
  <c r="F176" i="5"/>
  <c r="E176" i="5"/>
  <c r="D176" i="5"/>
  <c r="F175" i="5"/>
  <c r="E175" i="5"/>
  <c r="D175" i="5"/>
  <c r="F174" i="5"/>
  <c r="E174" i="5"/>
  <c r="D174" i="5"/>
  <c r="F173" i="5"/>
  <c r="E173" i="5"/>
  <c r="D173" i="5"/>
  <c r="F172" i="5"/>
  <c r="E172" i="5"/>
  <c r="D172" i="5"/>
  <c r="F171" i="5"/>
  <c r="E171" i="5"/>
  <c r="D171" i="5"/>
  <c r="F170" i="5"/>
  <c r="E170" i="5"/>
  <c r="D170" i="5"/>
  <c r="F168" i="5"/>
  <c r="E168" i="5"/>
  <c r="D168" i="5"/>
  <c r="F167" i="5"/>
  <c r="E167" i="5"/>
  <c r="D167" i="5"/>
  <c r="F166" i="5"/>
  <c r="E166" i="5"/>
  <c r="D166" i="5"/>
  <c r="F165" i="5"/>
  <c r="E165" i="5"/>
  <c r="D165" i="5"/>
  <c r="F164" i="5"/>
  <c r="E164" i="5"/>
  <c r="D164" i="5"/>
  <c r="F163" i="5"/>
  <c r="E163" i="5"/>
  <c r="D163" i="5"/>
  <c r="F161" i="5"/>
  <c r="E161" i="5"/>
  <c r="D161" i="5"/>
  <c r="F160" i="5"/>
  <c r="E160" i="5"/>
  <c r="D160" i="5"/>
  <c r="F159" i="5"/>
  <c r="E159" i="5"/>
  <c r="D159" i="5"/>
  <c r="F158" i="5"/>
  <c r="E158" i="5"/>
  <c r="D158" i="5"/>
  <c r="F155" i="5"/>
  <c r="E155" i="5"/>
  <c r="D155" i="5"/>
  <c r="F154" i="5"/>
  <c r="E154" i="5"/>
  <c r="D154" i="5"/>
  <c r="F152" i="5"/>
  <c r="E152" i="5"/>
  <c r="D152" i="5"/>
  <c r="F151" i="5"/>
  <c r="E151" i="5"/>
  <c r="D151" i="5"/>
  <c r="F150" i="5"/>
  <c r="E150" i="5"/>
  <c r="D150" i="5"/>
  <c r="F148" i="5"/>
  <c r="E148" i="5"/>
  <c r="D148" i="5"/>
  <c r="F147" i="5"/>
  <c r="E147" i="5"/>
  <c r="D147" i="5"/>
  <c r="F146" i="5"/>
  <c r="E146" i="5"/>
  <c r="D146" i="5"/>
  <c r="F145" i="5"/>
  <c r="E145" i="5"/>
  <c r="D145" i="5"/>
  <c r="F144" i="5"/>
  <c r="E144" i="5"/>
  <c r="D144" i="5"/>
  <c r="F143" i="5"/>
  <c r="E143" i="5"/>
  <c r="D143" i="5"/>
  <c r="F142" i="5"/>
  <c r="E142" i="5"/>
  <c r="D142" i="5"/>
  <c r="F141" i="5"/>
  <c r="E141" i="5"/>
  <c r="D141" i="5"/>
  <c r="F140" i="5"/>
  <c r="E140" i="5"/>
  <c r="D140" i="5"/>
  <c r="F139" i="5"/>
  <c r="E139" i="5"/>
  <c r="D139" i="5"/>
  <c r="F138" i="5"/>
  <c r="E138" i="5"/>
  <c r="D138" i="5"/>
  <c r="F137" i="5"/>
  <c r="E137" i="5"/>
  <c r="D137" i="5"/>
  <c r="F136" i="5"/>
  <c r="E136" i="5"/>
  <c r="D136" i="5"/>
  <c r="F135" i="5"/>
  <c r="E135" i="5"/>
  <c r="D135" i="5"/>
  <c r="F134" i="5"/>
  <c r="E134" i="5"/>
  <c r="D134" i="5"/>
  <c r="F133" i="5"/>
  <c r="E133" i="5"/>
  <c r="D133" i="5"/>
  <c r="F132" i="5"/>
  <c r="E132" i="5"/>
  <c r="D132" i="5"/>
  <c r="F131" i="5"/>
  <c r="E131" i="5"/>
  <c r="D131" i="5"/>
  <c r="F130" i="5"/>
  <c r="E130" i="5"/>
  <c r="D130" i="5"/>
  <c r="F129" i="5"/>
  <c r="E129" i="5"/>
  <c r="D129" i="5"/>
  <c r="F128" i="5"/>
  <c r="E128" i="5"/>
  <c r="D128" i="5"/>
  <c r="F127" i="5"/>
  <c r="E127" i="5"/>
  <c r="D127" i="5"/>
  <c r="F124" i="5"/>
  <c r="E124" i="5"/>
  <c r="D124" i="5"/>
  <c r="F123" i="5"/>
  <c r="E123" i="5"/>
  <c r="D123" i="5"/>
  <c r="F121" i="5"/>
  <c r="E121" i="5"/>
  <c r="D121" i="5"/>
  <c r="F119" i="5"/>
  <c r="E119" i="5"/>
  <c r="D119" i="5"/>
  <c r="F118" i="5"/>
  <c r="E118" i="5"/>
  <c r="D118" i="5"/>
  <c r="F116" i="5"/>
  <c r="E116" i="5"/>
  <c r="D116" i="5"/>
  <c r="F115" i="5"/>
  <c r="E115" i="5"/>
  <c r="D115" i="5"/>
  <c r="F113" i="5"/>
  <c r="E113" i="5"/>
  <c r="D113" i="5"/>
  <c r="F112" i="5"/>
  <c r="E112" i="5"/>
  <c r="D112" i="5"/>
  <c r="F110" i="5"/>
  <c r="E110" i="5"/>
  <c r="D110" i="5"/>
  <c r="F109" i="5"/>
  <c r="E109" i="5"/>
  <c r="D109" i="5"/>
  <c r="F107" i="5"/>
  <c r="E107" i="5"/>
  <c r="D107" i="5"/>
  <c r="F106" i="5"/>
  <c r="E106" i="5"/>
  <c r="D106" i="5"/>
  <c r="F105" i="5"/>
  <c r="E105" i="5"/>
  <c r="D105" i="5"/>
  <c r="F104" i="5"/>
  <c r="E104" i="5"/>
  <c r="D104" i="5"/>
  <c r="F103" i="5"/>
  <c r="E103" i="5"/>
  <c r="D103" i="5"/>
  <c r="F102" i="5"/>
  <c r="E102" i="5"/>
  <c r="D102" i="5"/>
  <c r="F100" i="5"/>
  <c r="E100" i="5"/>
  <c r="D100" i="5"/>
  <c r="F99" i="5"/>
  <c r="E99" i="5"/>
  <c r="D99" i="5"/>
  <c r="F98" i="5"/>
  <c r="E98" i="5"/>
  <c r="D98" i="5"/>
  <c r="F97" i="5"/>
  <c r="E97" i="5"/>
  <c r="D97" i="5"/>
  <c r="F96" i="5"/>
  <c r="E96" i="5"/>
  <c r="D96" i="5"/>
  <c r="F95" i="5"/>
  <c r="E95" i="5"/>
  <c r="D95" i="5"/>
  <c r="F92" i="5"/>
  <c r="E92" i="5"/>
  <c r="D92" i="5"/>
  <c r="F91" i="5"/>
  <c r="E91" i="5"/>
  <c r="D91" i="5"/>
  <c r="F90" i="5"/>
  <c r="E90" i="5"/>
  <c r="D90" i="5"/>
  <c r="F88" i="5"/>
  <c r="E88" i="5"/>
  <c r="D88" i="5"/>
  <c r="F87" i="5"/>
  <c r="E87" i="5"/>
  <c r="D87" i="5"/>
  <c r="F86" i="5"/>
  <c r="E86" i="5"/>
  <c r="D86" i="5"/>
  <c r="F85" i="5"/>
  <c r="E85" i="5"/>
  <c r="D85" i="5"/>
  <c r="F82" i="5"/>
  <c r="E82" i="5"/>
  <c r="D82" i="5"/>
  <c r="F80" i="5"/>
  <c r="E80" i="5"/>
  <c r="C314" i="5"/>
  <c r="C306" i="5"/>
  <c r="C300" i="5"/>
  <c r="C295" i="5"/>
  <c r="C290" i="5"/>
  <c r="C283" i="5"/>
  <c r="C278" i="5"/>
  <c r="C272" i="5"/>
  <c r="C240" i="5"/>
  <c r="C228" i="5"/>
  <c r="C222" i="5"/>
  <c r="C215" i="5"/>
  <c r="C210" i="5"/>
  <c r="C204" i="5"/>
  <c r="C198" i="5"/>
  <c r="C186" i="5"/>
  <c r="C180" i="5"/>
  <c r="C173" i="5"/>
  <c r="C166" i="5"/>
  <c r="C164" i="5"/>
  <c r="C158" i="5"/>
  <c r="C152" i="5"/>
  <c r="C144" i="5"/>
  <c r="C136" i="5"/>
  <c r="C129" i="5"/>
  <c r="C115" i="5"/>
  <c r="C109" i="5"/>
  <c r="C102" i="5"/>
  <c r="C95" i="5"/>
  <c r="C87" i="5"/>
  <c r="C80" i="5"/>
  <c r="C76" i="5"/>
  <c r="C69" i="5"/>
  <c r="C56" i="5"/>
  <c r="C50" i="5"/>
  <c r="C26" i="5"/>
  <c r="C19" i="5"/>
  <c r="C12" i="5"/>
  <c r="F79" i="5"/>
  <c r="E79" i="5"/>
  <c r="D79" i="5"/>
  <c r="F78" i="5"/>
  <c r="E78" i="5"/>
  <c r="D78" i="5"/>
  <c r="F77" i="5"/>
  <c r="E77" i="5"/>
  <c r="D77" i="5"/>
  <c r="F76" i="5"/>
  <c r="E76" i="5"/>
  <c r="D76" i="5"/>
  <c r="F74" i="5"/>
  <c r="E74" i="5"/>
  <c r="D74" i="5"/>
  <c r="F72" i="5"/>
  <c r="E72" i="5"/>
  <c r="D72" i="5"/>
  <c r="F69" i="5"/>
  <c r="E69" i="5"/>
  <c r="D69" i="5"/>
  <c r="F68" i="5"/>
  <c r="E68" i="5"/>
  <c r="D68" i="5"/>
  <c r="F66" i="5"/>
  <c r="E66" i="5"/>
  <c r="D66" i="5"/>
  <c r="F62" i="5"/>
  <c r="E62" i="5"/>
  <c r="D62" i="5"/>
  <c r="F60" i="5"/>
  <c r="E60" i="5"/>
  <c r="D60" i="5"/>
  <c r="F59" i="5"/>
  <c r="E59" i="5"/>
  <c r="D59" i="5"/>
  <c r="F57" i="5"/>
  <c r="E57" i="5"/>
  <c r="D57" i="5"/>
  <c r="F56" i="5"/>
  <c r="E56" i="5"/>
  <c r="D56" i="5"/>
  <c r="F54" i="5"/>
  <c r="E54" i="5"/>
  <c r="D54" i="5"/>
  <c r="F53" i="5"/>
  <c r="E53" i="5"/>
  <c r="D53" i="5"/>
  <c r="F51" i="5"/>
  <c r="E51" i="5"/>
  <c r="D51" i="5"/>
  <c r="F50" i="5"/>
  <c r="E50" i="5"/>
  <c r="D50" i="5"/>
  <c r="F49" i="5"/>
  <c r="E49" i="5"/>
  <c r="D49" i="5"/>
  <c r="F48" i="5"/>
  <c r="E48" i="5"/>
  <c r="D48" i="5"/>
  <c r="F47" i="5"/>
  <c r="E47" i="5"/>
  <c r="D47" i="5"/>
  <c r="F44" i="5"/>
  <c r="E44" i="5"/>
  <c r="D44" i="5"/>
  <c r="F42" i="5"/>
  <c r="E42" i="5"/>
  <c r="D42" i="5"/>
  <c r="F41" i="5"/>
  <c r="E41" i="5"/>
  <c r="D41" i="5"/>
  <c r="F37" i="5"/>
  <c r="E37" i="5"/>
  <c r="D37" i="5"/>
  <c r="F35" i="5"/>
  <c r="E35" i="5"/>
  <c r="D35" i="5"/>
  <c r="F31" i="5"/>
  <c r="E31" i="5"/>
  <c r="D31" i="5"/>
  <c r="F30" i="5"/>
  <c r="E30" i="5"/>
  <c r="D30" i="5"/>
  <c r="F29" i="5"/>
  <c r="E29" i="5"/>
  <c r="D29" i="5"/>
  <c r="F27" i="5"/>
  <c r="E27" i="5"/>
  <c r="D27" i="5"/>
  <c r="F26" i="5"/>
  <c r="E26" i="5"/>
  <c r="D26" i="5"/>
  <c r="F22" i="5"/>
  <c r="E22" i="5"/>
  <c r="D22" i="5"/>
  <c r="F20" i="5"/>
  <c r="E20" i="5"/>
  <c r="D20" i="5"/>
  <c r="F19" i="5"/>
  <c r="E19" i="5"/>
  <c r="D19" i="5"/>
  <c r="F18" i="5"/>
  <c r="E18" i="5"/>
  <c r="D18" i="5"/>
  <c r="F17" i="5"/>
  <c r="E17" i="5"/>
  <c r="D17" i="5"/>
  <c r="F14" i="5"/>
  <c r="E14" i="5"/>
  <c r="D14" i="5"/>
  <c r="F12" i="5"/>
  <c r="E12" i="5"/>
  <c r="D12" i="5"/>
  <c r="C309" i="5"/>
  <c r="C288" i="5"/>
  <c r="C277" i="5"/>
  <c r="C270" i="5"/>
  <c r="C264" i="5"/>
  <c r="C256" i="5"/>
  <c r="C251" i="5"/>
  <c r="C245" i="5"/>
  <c r="C238" i="5"/>
  <c r="C231" i="5"/>
  <c r="C225" i="5"/>
  <c r="C201" i="5"/>
  <c r="C195" i="5"/>
  <c r="C188" i="5"/>
  <c r="C181" i="5"/>
  <c r="C174" i="5"/>
  <c r="C167" i="5"/>
  <c r="C161" i="5"/>
  <c r="C147" i="5"/>
  <c r="C141" i="5"/>
  <c r="C134" i="5"/>
  <c r="C127" i="5"/>
  <c r="C113" i="5"/>
  <c r="C107" i="5"/>
  <c r="C100" i="5"/>
  <c r="C86" i="5"/>
  <c r="C79" i="5"/>
  <c r="C66" i="5"/>
  <c r="C60" i="5"/>
  <c r="C53" i="5"/>
  <c r="C44" i="5"/>
  <c r="C27" i="5"/>
  <c r="C20" i="5"/>
  <c r="C318" i="5"/>
  <c r="C308" i="5"/>
  <c r="C304" i="5"/>
  <c r="C301" i="5"/>
  <c r="C299" i="5"/>
  <c r="C296" i="5"/>
  <c r="C293" i="5"/>
  <c r="C289" i="5"/>
  <c r="C286" i="5"/>
  <c r="C281" i="5"/>
  <c r="C279" i="5"/>
  <c r="C275" i="5"/>
  <c r="C271" i="5"/>
  <c r="C268" i="5"/>
  <c r="C265" i="5"/>
  <c r="C261" i="5"/>
  <c r="C259" i="5"/>
  <c r="C255" i="5"/>
  <c r="C253" i="5"/>
  <c r="C248" i="5"/>
  <c r="C244" i="5"/>
  <c r="C241" i="5"/>
  <c r="C237" i="5"/>
  <c r="C229" i="5"/>
  <c r="C224" i="5"/>
  <c r="C217" i="5"/>
  <c r="C214" i="5"/>
  <c r="C211" i="5"/>
  <c r="C209" i="5"/>
  <c r="C205" i="5"/>
  <c r="C203" i="5"/>
  <c r="C199" i="5"/>
  <c r="C197" i="5"/>
  <c r="C194" i="5"/>
  <c r="C190" i="5"/>
  <c r="C179" i="5"/>
  <c r="C176" i="5"/>
  <c r="C172" i="5"/>
  <c r="C168" i="5"/>
  <c r="C165" i="5"/>
  <c r="C159" i="5"/>
  <c r="C155" i="5"/>
  <c r="C146" i="5"/>
  <c r="C142" i="5"/>
  <c r="C139" i="5"/>
  <c r="C135" i="5"/>
  <c r="C131" i="5"/>
  <c r="C128" i="5"/>
  <c r="C124" i="5"/>
  <c r="C121" i="5"/>
  <c r="C110" i="5"/>
  <c r="C106" i="5"/>
  <c r="C103" i="5"/>
  <c r="C99" i="5"/>
  <c r="C96" i="5"/>
  <c r="C92" i="5"/>
  <c r="C85" i="5"/>
  <c r="C78" i="5"/>
  <c r="C74" i="5"/>
  <c r="C62" i="5"/>
  <c r="C59" i="5"/>
  <c r="C54" i="5"/>
  <c r="C49" i="5"/>
  <c r="C47" i="5"/>
  <c r="C41" i="5"/>
  <c r="C18" i="5"/>
  <c r="C14" i="5"/>
  <c r="C311" i="5"/>
  <c r="C292" i="5"/>
  <c r="C274" i="5"/>
  <c r="C267" i="5"/>
  <c r="C262" i="5"/>
  <c r="C257" i="5"/>
  <c r="C252" i="5"/>
  <c r="C239" i="5"/>
  <c r="C232" i="5"/>
  <c r="C226" i="5"/>
  <c r="C218" i="5"/>
  <c r="C212" i="5"/>
  <c r="C207" i="5"/>
  <c r="C196" i="5"/>
  <c r="C189" i="5"/>
  <c r="C182" i="5"/>
  <c r="C175" i="5"/>
  <c r="C163" i="5"/>
  <c r="C150" i="5"/>
  <c r="C143" i="5"/>
  <c r="C137" i="5"/>
  <c r="C130" i="5"/>
  <c r="C123" i="5"/>
  <c r="C116" i="5"/>
  <c r="C88" i="5"/>
  <c r="C82" i="5"/>
  <c r="C77" i="5"/>
  <c r="C57" i="5"/>
  <c r="C51" i="5"/>
  <c r="C31" i="5"/>
  <c r="C17" i="5"/>
  <c r="C332" i="5"/>
  <c r="C331" i="5"/>
  <c r="C330" i="5"/>
  <c r="C329" i="5"/>
  <c r="C328" i="5"/>
  <c r="C326" i="5"/>
  <c r="C325" i="5"/>
  <c r="C324" i="5"/>
  <c r="C323" i="5"/>
  <c r="C322" i="5"/>
  <c r="C321" i="5"/>
  <c r="C320" i="5"/>
  <c r="C319" i="5"/>
  <c r="C317" i="5"/>
  <c r="C312" i="5"/>
  <c r="C310" i="5"/>
  <c r="C305" i="5"/>
  <c r="C303" i="5"/>
  <c r="C298" i="5"/>
  <c r="C294" i="5"/>
  <c r="C287" i="5"/>
  <c r="C282" i="5"/>
  <c r="C276" i="5"/>
  <c r="C269" i="5"/>
  <c r="C263" i="5"/>
  <c r="C258" i="5"/>
  <c r="C250" i="5"/>
  <c r="C243" i="5"/>
  <c r="C235" i="5"/>
  <c r="C227" i="5"/>
  <c r="C220" i="5"/>
  <c r="C213" i="5"/>
  <c r="C208" i="5"/>
  <c r="C202" i="5"/>
  <c r="C193" i="5"/>
  <c r="C177" i="5"/>
  <c r="C170" i="5"/>
  <c r="C160" i="5"/>
  <c r="C151" i="5"/>
  <c r="C145" i="5"/>
  <c r="C138" i="5"/>
  <c r="C132" i="5"/>
  <c r="C119" i="5"/>
  <c r="C104" i="5"/>
  <c r="C98" i="5"/>
  <c r="C91" i="5"/>
  <c r="C72" i="5"/>
  <c r="C37" i="5"/>
  <c r="C30" i="5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2" i="9"/>
  <c r="I21" i="9"/>
  <c r="I20" i="9"/>
  <c r="I19" i="9"/>
  <c r="I18" i="9"/>
  <c r="I17" i="9"/>
  <c r="I15" i="9"/>
  <c r="I14" i="9"/>
  <c r="I13" i="9"/>
  <c r="I12" i="9"/>
  <c r="I11" i="9"/>
  <c r="I10" i="9"/>
  <c r="I9" i="9"/>
  <c r="I8" i="9"/>
  <c r="I7" i="9"/>
  <c r="I6" i="9"/>
  <c r="E10" i="10" l="1"/>
  <c r="B10" i="10"/>
  <c r="C10" i="10"/>
  <c r="A11" i="10"/>
  <c r="E4" i="5"/>
  <c r="D4" i="5"/>
  <c r="C4" i="5"/>
  <c r="F4" i="5"/>
  <c r="G4" i="5" l="1"/>
  <c r="E11" i="10"/>
  <c r="B11" i="10"/>
  <c r="C11" i="10"/>
  <c r="A12" i="10"/>
  <c r="E12" i="10" l="1"/>
  <c r="B12" i="10"/>
  <c r="C12" i="10"/>
  <c r="A13" i="10"/>
  <c r="E13" i="10" l="1"/>
  <c r="B13" i="10"/>
  <c r="C13" i="10"/>
  <c r="A14" i="10"/>
  <c r="E14" i="10" l="1"/>
  <c r="B14" i="10"/>
  <c r="C14" i="10"/>
  <c r="A15" i="10"/>
  <c r="E15" i="10" l="1"/>
  <c r="B15" i="10"/>
  <c r="C15" i="10"/>
  <c r="A16" i="10"/>
  <c r="E16" i="10" l="1"/>
  <c r="B16" i="10"/>
  <c r="C16" i="10"/>
  <c r="A17" i="10"/>
  <c r="E17" i="10" l="1"/>
  <c r="B17" i="10"/>
  <c r="C17" i="10"/>
  <c r="B9" i="11" l="1"/>
  <c r="B10" i="11"/>
  <c r="B11" i="11"/>
  <c r="C9" i="11"/>
  <c r="C11" i="11"/>
  <c r="C10" i="11"/>
  <c r="D11" i="11"/>
  <c r="D10" i="11"/>
  <c r="D9" i="11"/>
  <c r="B7" i="11"/>
  <c r="B18" i="10"/>
  <c r="C7" i="11"/>
  <c r="C18" i="10"/>
  <c r="D7" i="11"/>
  <c r="E18" i="10"/>
  <c r="H18" i="10"/>
  <c r="E11" i="11" l="1"/>
  <c r="E7" i="11"/>
  <c r="E9" i="11"/>
  <c r="E10" i="11"/>
  <c r="B8" i="11"/>
  <c r="B12" i="11" s="1"/>
  <c r="C8" i="11"/>
  <c r="C12" i="11" s="1"/>
  <c r="D8" i="11"/>
  <c r="D12" i="11" s="1"/>
  <c r="E8" i="11" l="1"/>
  <c r="E12" i="11" s="1"/>
  <c r="E13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tc={9DA5322B-8B9E-43EB-BD5C-5AD2754A1BA4}</author>
    <author>tc={E35E2873-8B3B-41CA-8843-FF3E25A183E8}</author>
  </authors>
  <commentList>
    <comment ref="A6" authorId="0" shapeId="0" xr:uid="{9DA5322B-8B9E-43EB-BD5C-5AD2754A1B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Project-based</t>
      </text>
    </comment>
    <comment ref="A7" authorId="1" shapeId="0" xr:uid="{E35E2873-8B3B-41CA-8843-FF3E25A183E8}">
      <text>
        <t>[Threaded comment]
Your version of Excel allows you to read this threaded comment; however, any edits to it will get removed if the file is opened in a newer version of Excel. Learn more: https://go.microsoft.com/fwlink/?linkid=870924
Comment:
    Outsourced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tc={A9227E08-A629-4384-89D7-E972BF5BBF33}</author>
    <author>tc={7586A55B-0E67-4A7B-AB78-292ABD9BA314}</author>
  </authors>
  <commentList>
    <comment ref="A6" authorId="0" shapeId="0" xr:uid="{A9227E08-A629-4384-89D7-E972BF5BBF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Project-based</t>
      </text>
    </comment>
    <comment ref="A7" authorId="1" shapeId="0" xr:uid="{7586A55B-0E67-4A7B-AB78-292ABD9BA314}">
      <text>
        <t>[Threaded comment]
Your version of Excel allows you to read this threaded comment; however, any edits to it will get removed if the file is opened in a newer version of Excel. Learn more: https://go.microsoft.com/fwlink/?linkid=870924
Comment:
    Outsourced</t>
      </text>
    </comment>
  </commentList>
</comments>
</file>

<file path=xl/sharedStrings.xml><?xml version="1.0" encoding="utf-8"?>
<sst xmlns="http://schemas.openxmlformats.org/spreadsheetml/2006/main" count="420" uniqueCount="41">
  <si>
    <t>Government Contributions (ER) - SSS</t>
  </si>
  <si>
    <t>Government Contributions (ER) - Pag-Ibig</t>
  </si>
  <si>
    <t>Government Contributions (ER) - Philhealth</t>
  </si>
  <si>
    <t>Basic Pay</t>
  </si>
  <si>
    <t>Company</t>
  </si>
  <si>
    <t>Average Salary</t>
  </si>
  <si>
    <t>Employee List</t>
  </si>
  <si>
    <t>xlookup</t>
  </si>
  <si>
    <t>PHILIPPINE SOCIAL SECURITY SYSTEM (SSS)</t>
  </si>
  <si>
    <t>RANGE OF COMPENSATION</t>
  </si>
  <si>
    <t>MONTHLY SALARY CREDIT (MSC)</t>
  </si>
  <si>
    <t>EMPLOYER (ER) SHARE</t>
  </si>
  <si>
    <t>TOTAL</t>
  </si>
  <si>
    <t>MINIMUM</t>
  </si>
  <si>
    <t>MAXIMUM</t>
  </si>
  <si>
    <t>REGULAR SS</t>
  </si>
  <si>
    <t>MPF</t>
  </si>
  <si>
    <t>TOTAL MSC</t>
  </si>
  <si>
    <t>EC</t>
  </si>
  <si>
    <t>TOTAL ER</t>
  </si>
  <si>
    <t>and over</t>
  </si>
  <si>
    <t>Key Notes &amp; Explanatory Guide:</t>
  </si>
  <si>
    <t>1. Regular Social Security (SS) rate is 15% of MSC (10% Employer Share, 5% Employee Share).</t>
  </si>
  <si>
    <t>2. Regular SS MSC is capped at PHP 20,000. Any MSC in excess of PHP 20,000 (up to PHP 35,000) goes to Mandatory Provident Fund (MPF / MySSS Pension Booster).</t>
  </si>
  <si>
    <t>3. Employees' Compensation (EC) contribution is 100% shouldered by the Employer (PHP 10.00 for MSC &lt; 15,000; PHP 30.00 for MSC &gt;= 15,000).</t>
  </si>
  <si>
    <t>4. Table values reflect SSS Circular No. 2024-006 guidelines effective January 2025.</t>
  </si>
  <si>
    <t>to be filled-out by HR</t>
  </si>
  <si>
    <t>Ortigas Group (OLC, OCC, OCLP)</t>
  </si>
  <si>
    <t>Average Salary per Employee Rank</t>
  </si>
  <si>
    <t>OLC</t>
  </si>
  <si>
    <t>OCC</t>
  </si>
  <si>
    <t>OCLP</t>
  </si>
  <si>
    <t>Rank</t>
  </si>
  <si>
    <t>Total</t>
  </si>
  <si>
    <t>Current Headcount per Company</t>
  </si>
  <si>
    <t>Account</t>
  </si>
  <si>
    <t>Salary</t>
  </si>
  <si>
    <t>Guaranteed Bonus</t>
  </si>
  <si>
    <t>OCLP Project</t>
  </si>
  <si>
    <t>OLC Project</t>
  </si>
  <si>
    <t>Outsourced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</si>
</sst>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6"/>
      <color rgb="FF1B365D"/>
      <name val="Calibri"/>
      <family val="2"/>
    </font>
    <font>
      <i/>
      <sz val="11"/>
      <color rgb="FF595959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1"/>
      <color rgb="FF1B365D"/>
      <name val="Calibri"/>
      <family val="2"/>
    </font>
    <font>
      <b/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B365D"/>
        <bgColor rgb="FF1B365D"/>
      </patternFill>
    </fill>
    <fill>
      <patternFill patternType="solid">
        <fgColor rgb="FF2C4D75"/>
        <bgColor rgb="FF2C4D75"/>
      </patternFill>
    </fill>
    <fill>
      <patternFill patternType="solid">
        <fgColor rgb="FF1F497D"/>
        <bgColor rgb="FF1F497D"/>
      </patternFill>
    </fill>
    <fill>
      <patternFill patternType="solid">
        <fgColor rgb="FFF9FAFC"/>
        <bgColor rgb="FFF9FAF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2">
    <xf numFmtId="0" fontId="0" fillId="0" borderId="0" xfId="0"/>
    <xf numFmtId="43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3" borderId="1" xfId="0" applyFont="1" applyFill="1" applyBorder="1" applyAlignment="1">
      <alignment horizontal="center" vertical="center" wrapText="1"/>
    </xf>
    <xf numFmtId="4" fontId="8" fillId="6" borderId="1" xfId="0" applyNumberFormat="1" applyFont="1" applyFill="1" applyBorder="1" applyAlignment="1">
      <alignment horizontal="right"/>
    </xf>
    <xf numFmtId="4" fontId="8" fillId="0" borderId="1" xfId="0" applyNumberFormat="1" applyFont="1" applyBorder="1" applyAlignment="1">
      <alignment horizontal="right"/>
    </xf>
    <xf numFmtId="0" fontId="8" fillId="6" borderId="1" xfId="0" applyFont="1" applyFill="1" applyBorder="1" applyAlignment="1">
      <alignment horizontal="center"/>
    </xf>
    <xf numFmtId="0" fontId="9" fillId="0" borderId="0" xfId="0" applyFont="1"/>
    <xf numFmtId="43" fontId="0" fillId="2" borderId="0" xfId="1" applyFont="1" applyFill="1"/>
    <xf numFmtId="43" fontId="0" fillId="0" borderId="0" xfId="1" applyFont="1"/>
    <xf numFmtId="43" fontId="2" fillId="0" borderId="0" xfId="1" applyFont="1"/>
    <xf numFmtId="43" fontId="2" fillId="0" borderId="0" xfId="0" applyNumberFormat="1" applyFont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0" fillId="2" borderId="3" xfId="0" applyFill="1" applyBorder="1"/>
    <xf numFmtId="0" fontId="0" fillId="0" borderId="3" xfId="0" applyBorder="1"/>
    <xf numFmtId="0" fontId="2" fillId="0" borderId="0" xfId="0" applyFont="1"/>
    <xf numFmtId="0" fontId="10" fillId="0" borderId="0" xfId="0" applyFont="1"/>
    <xf numFmtId="43" fontId="0" fillId="0" borderId="3" xfId="0" applyNumberFormat="1" applyBorder="1"/>
    <xf numFmtId="0" fontId="2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6" fillId="5" borderId="1" xfId="0" applyFont="1" applyFill="1" applyBorder="1" applyAlignment="1">
      <alignment horizontal="center" vertical="center"/>
    </xf>
    <xf numFmtId="0" fontId="0" fillId="5" borderId="1" xfId="0" applyFill="1" applyBorder="1"/>
  </cellXfs>
  <cellStyles count="3">
    <cellStyle name="Comma" xfId="1" builtinId="3"/>
    <cellStyle name="Comma 2" xfId="2" xr:uid="{3E2BF865-FCD1-4878-A7BA-34DE08CE0DF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incess Vera P. Jumalon" id="{1665D72D-25BF-423C-963A-1B92BF1BAA5B}" userId="S::jumalonpvp@ortigas.com.ph::a1933eb8-e23b-489b-9c9b-eba56169428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" dT="2026-07-30T06:31:58.77" personId="{1665D72D-25BF-423C-963A-1B92BF1BAA5B}" id="{9DA5322B-8B9E-43EB-BD5C-5AD2754A1BA4}">
    <text>Project-based</text>
  </threadedComment>
  <threadedComment ref="A7" dT="2026-07-30T06:32:05.15" personId="{1665D72D-25BF-423C-963A-1B92BF1BAA5B}" id="{E35E2873-8B3B-41CA-8843-FF3E25A183E8}">
    <text>Outsourced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6" dT="2026-07-30T06:31:58.77" personId="{1665D72D-25BF-423C-963A-1B92BF1BAA5B}" id="{A9227E08-A629-4384-89D7-E972BF5BBF33}">
    <text>Project-based</text>
  </threadedComment>
  <threadedComment ref="A7" dT="2026-07-30T06:32:05.15" personId="{1665D72D-25BF-423C-963A-1B92BF1BAA5B}" id="{7586A55B-0E67-4A7B-AB78-292ABD9BA314}">
    <text>Outsourced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E7D11-EEEA-4C1D-B28D-993BA3CC8ADE}">
  <dimension ref="A1:H351"/>
  <sheetViews>
    <sheetView zoomScale="70" zoomScaleNormal="70" workbookViewId="0">
      <pane xSplit="2" ySplit="7" topLeftCell="C330" activePane="bottomRight" state="frozen"/>
      <selection pane="topRight" activeCell="C1" sqref="C1"/>
      <selection pane="bottomLeft" activeCell="A8" sqref="A8"/>
      <selection pane="bottomRight" activeCell="C8" sqref="C8:C351"/>
    </sheetView>
  </sheetViews>
  <sheetFormatPr defaultRowHeight="14.5" x14ac:dyDescent="0.35"/>
  <cols>
    <col min="1" max="1" width="34" bestFit="1" customWidth="1"/>
    <col min="2" max="2" width="18.54296875" bestFit="1" customWidth="1"/>
    <col min="3" max="3" width="19.1796875" bestFit="1" customWidth="1"/>
    <col min="4" max="4" width="35.453125" bestFit="1" customWidth="1"/>
    <col min="5" max="5" width="39.08984375" bestFit="1" customWidth="1"/>
    <col min="6" max="6" width="40.81640625" bestFit="1" customWidth="1"/>
    <col min="7" max="7" width="13.81640625" bestFit="1" customWidth="1"/>
    <col min="8" max="8" width="14.453125" bestFit="1" customWidth="1"/>
  </cols>
  <sheetData>
    <row r="1" spans="1:8" x14ac:dyDescent="0.35">
      <c r="A1" s="3" t="s">
        <v>27</v>
      </c>
    </row>
    <row r="2" spans="1:8" x14ac:dyDescent="0.35">
      <c r="A2" s="3" t="s">
        <v>6</v>
      </c>
    </row>
    <row r="3" spans="1:8" x14ac:dyDescent="0.35">
      <c r="A3" s="3"/>
    </row>
    <row r="4" spans="1:8" x14ac:dyDescent="0.35">
      <c r="A4" s="3" t="s">
        <v>12</v>
      </c>
      <c r="C4" s="15">
        <f>SUBTOTAL(9,C8:C1048576)</f>
        <v>26655176.712973587</v>
      </c>
      <c r="D4" s="15">
        <f>SUBTOTAL(9,D8:D1048576)</f>
        <v>1083850</v>
      </c>
      <c r="E4" s="15">
        <f>SUBTOTAL(9,E8:E1048576)</f>
        <v>65000</v>
      </c>
      <c r="F4" s="15">
        <f>SUBTOTAL(9,F8:F1048576)</f>
        <v>448362.70459999994</v>
      </c>
      <c r="G4" s="16">
        <f>SUM(C4:F4)</f>
        <v>28252389.417573586</v>
      </c>
      <c r="H4" s="1"/>
    </row>
    <row r="5" spans="1:8" x14ac:dyDescent="0.35">
      <c r="A5" s="3"/>
    </row>
    <row r="6" spans="1:8" x14ac:dyDescent="0.35">
      <c r="A6" s="5" t="s">
        <v>26</v>
      </c>
      <c r="B6" s="5" t="s">
        <v>26</v>
      </c>
      <c r="C6" s="5" t="s">
        <v>7</v>
      </c>
      <c r="D6" s="5" t="s">
        <v>7</v>
      </c>
      <c r="E6" s="5" t="s">
        <v>7</v>
      </c>
      <c r="F6" s="5" t="s">
        <v>7</v>
      </c>
    </row>
    <row r="7" spans="1:8" x14ac:dyDescent="0.35">
      <c r="A7" s="17" t="s">
        <v>4</v>
      </c>
      <c r="B7" s="17" t="s">
        <v>32</v>
      </c>
      <c r="C7" s="17" t="s">
        <v>3</v>
      </c>
      <c r="D7" s="18" t="s">
        <v>0</v>
      </c>
      <c r="E7" s="18" t="s">
        <v>1</v>
      </c>
      <c r="F7" s="18" t="s">
        <v>2</v>
      </c>
    </row>
    <row r="8" spans="1:8" x14ac:dyDescent="0.35">
      <c r="A8" s="4" t="s">
        <v>31</v>
      </c>
      <c r="B8" s="4">
        <v>3</v>
      </c>
      <c r="C8" s="14">
        <f>_xlfn.XLOOKUP(B8,'Average Salary'!A:A,'Average Salary'!B:B)</f>
        <v>25070.000000000004</v>
      </c>
      <c r="D8" s="14">
        <f>_xlfn.XLOOKUP($B8,'Average Salary'!$A:$A,'Average Salary'!C:C)</f>
        <v>2530</v>
      </c>
      <c r="E8" s="14">
        <f>_xlfn.XLOOKUP($B8,'Average Salary'!$A:$A,'Average Salary'!D:D)</f>
        <v>200</v>
      </c>
      <c r="F8" s="14">
        <f>_xlfn.XLOOKUP($B8,'Average Salary'!$A:$A,'Average Salary'!E:E)</f>
        <v>626.75000000000011</v>
      </c>
    </row>
    <row r="9" spans="1:8" x14ac:dyDescent="0.35">
      <c r="A9" s="4" t="s">
        <v>38</v>
      </c>
      <c r="B9" s="4">
        <v>1</v>
      </c>
      <c r="C9" s="14">
        <f>_xlfn.XLOOKUP(B9,'Average Salary'!A:A,'Average Salary'!B:B)</f>
        <v>32379.409200000002</v>
      </c>
      <c r="D9" s="14">
        <f>_xlfn.XLOOKUP($B9,'Average Salary'!$A:$A,'Average Salary'!C:C)</f>
        <v>3280</v>
      </c>
      <c r="E9" s="14">
        <f>_xlfn.XLOOKUP($B9,'Average Salary'!$A:$A,'Average Salary'!D:D)</f>
        <v>200</v>
      </c>
      <c r="F9" s="14">
        <f>_xlfn.XLOOKUP($B9,'Average Salary'!$A:$A,'Average Salary'!E:E)</f>
        <v>809.48523000000012</v>
      </c>
    </row>
    <row r="10" spans="1:8" x14ac:dyDescent="0.35">
      <c r="A10" s="4" t="s">
        <v>38</v>
      </c>
      <c r="B10" s="4">
        <v>1</v>
      </c>
      <c r="C10" s="14">
        <f>_xlfn.XLOOKUP(B10,'Average Salary'!A:A,'Average Salary'!B:B)</f>
        <v>32379.409200000002</v>
      </c>
      <c r="D10" s="14">
        <f>_xlfn.XLOOKUP($B10,'Average Salary'!$A:$A,'Average Salary'!C:C)</f>
        <v>3280</v>
      </c>
      <c r="E10" s="14">
        <f>_xlfn.XLOOKUP($B10,'Average Salary'!$A:$A,'Average Salary'!D:D)</f>
        <v>200</v>
      </c>
      <c r="F10" s="14">
        <f>_xlfn.XLOOKUP($B10,'Average Salary'!$A:$A,'Average Salary'!E:E)</f>
        <v>809.48523000000012</v>
      </c>
    </row>
    <row r="11" spans="1:8" x14ac:dyDescent="0.35">
      <c r="A11" s="4" t="s">
        <v>38</v>
      </c>
      <c r="B11" s="4">
        <v>1</v>
      </c>
      <c r="C11" s="14">
        <f>_xlfn.XLOOKUP(B11,'Average Salary'!A:A,'Average Salary'!B:B)</f>
        <v>32379.409200000002</v>
      </c>
      <c r="D11" s="14">
        <f>_xlfn.XLOOKUP($B11,'Average Salary'!$A:$A,'Average Salary'!C:C)</f>
        <v>3280</v>
      </c>
      <c r="E11" s="14">
        <f>_xlfn.XLOOKUP($B11,'Average Salary'!$A:$A,'Average Salary'!D:D)</f>
        <v>200</v>
      </c>
      <c r="F11" s="14">
        <f>_xlfn.XLOOKUP($B11,'Average Salary'!$A:$A,'Average Salary'!E:E)</f>
        <v>809.48523000000012</v>
      </c>
    </row>
    <row r="12" spans="1:8" x14ac:dyDescent="0.35">
      <c r="A12" s="4" t="s">
        <v>31</v>
      </c>
      <c r="B12" s="4">
        <v>4</v>
      </c>
      <c r="C12" s="14">
        <f>_xlfn.XLOOKUP(B12,'Average Salary'!A:A,'Average Salary'!B:B)</f>
        <v>33790</v>
      </c>
      <c r="D12" s="14">
        <f>_xlfn.XLOOKUP($B12,'Average Salary'!$A:$A,'Average Salary'!C:C)</f>
        <v>3430</v>
      </c>
      <c r="E12" s="14">
        <f>_xlfn.XLOOKUP($B12,'Average Salary'!$A:$A,'Average Salary'!D:D)</f>
        <v>200</v>
      </c>
      <c r="F12" s="14">
        <f>_xlfn.XLOOKUP($B12,'Average Salary'!$A:$A,'Average Salary'!E:E)</f>
        <v>844.75</v>
      </c>
    </row>
    <row r="13" spans="1:8" x14ac:dyDescent="0.35">
      <c r="A13" s="4" t="s">
        <v>31</v>
      </c>
      <c r="B13" s="4">
        <v>3</v>
      </c>
      <c r="C13" s="14">
        <f>_xlfn.XLOOKUP(B13,'Average Salary'!A:A,'Average Salary'!B:B)</f>
        <v>25070.000000000004</v>
      </c>
      <c r="D13" s="14">
        <f>_xlfn.XLOOKUP($B13,'Average Salary'!$A:$A,'Average Salary'!C:C)</f>
        <v>2530</v>
      </c>
      <c r="E13" s="14">
        <f>_xlfn.XLOOKUP($B13,'Average Salary'!$A:$A,'Average Salary'!D:D)</f>
        <v>200</v>
      </c>
      <c r="F13" s="14">
        <f>_xlfn.XLOOKUP($B13,'Average Salary'!$A:$A,'Average Salary'!E:E)</f>
        <v>626.75000000000011</v>
      </c>
    </row>
    <row r="14" spans="1:8" x14ac:dyDescent="0.35">
      <c r="A14" s="4" t="s">
        <v>31</v>
      </c>
      <c r="B14" s="4">
        <v>7</v>
      </c>
      <c r="C14" s="14">
        <f>_xlfn.XLOOKUP(B14,'Average Salary'!A:A,'Average Salary'!B:B)</f>
        <v>78480</v>
      </c>
      <c r="D14" s="14">
        <f>_xlfn.XLOOKUP($B14,'Average Salary'!$A:$A,'Average Salary'!C:C)</f>
        <v>3530</v>
      </c>
      <c r="E14" s="14">
        <f>_xlfn.XLOOKUP($B14,'Average Salary'!$A:$A,'Average Salary'!D:D)</f>
        <v>200</v>
      </c>
      <c r="F14" s="14">
        <f>_xlfn.XLOOKUP($B14,'Average Salary'!$A:$A,'Average Salary'!E:E)</f>
        <v>1962</v>
      </c>
    </row>
    <row r="15" spans="1:8" x14ac:dyDescent="0.35">
      <c r="A15" s="4" t="s">
        <v>38</v>
      </c>
      <c r="B15" s="4">
        <v>1</v>
      </c>
      <c r="C15" s="14">
        <f>_xlfn.XLOOKUP(B15,'Average Salary'!A:A,'Average Salary'!B:B)</f>
        <v>32379.409200000002</v>
      </c>
      <c r="D15" s="14">
        <f>_xlfn.XLOOKUP($B15,'Average Salary'!$A:$A,'Average Salary'!C:C)</f>
        <v>3280</v>
      </c>
      <c r="E15" s="14">
        <f>_xlfn.XLOOKUP($B15,'Average Salary'!$A:$A,'Average Salary'!D:D)</f>
        <v>200</v>
      </c>
      <c r="F15" s="14">
        <f>_xlfn.XLOOKUP($B15,'Average Salary'!$A:$A,'Average Salary'!E:E)</f>
        <v>809.48523000000012</v>
      </c>
    </row>
    <row r="16" spans="1:8" x14ac:dyDescent="0.35">
      <c r="A16" s="4" t="s">
        <v>38</v>
      </c>
      <c r="B16" s="4">
        <v>1</v>
      </c>
      <c r="C16" s="14">
        <f>_xlfn.XLOOKUP(B16,'Average Salary'!A:A,'Average Salary'!B:B)</f>
        <v>32379.409200000002</v>
      </c>
      <c r="D16" s="14">
        <f>_xlfn.XLOOKUP($B16,'Average Salary'!$A:$A,'Average Salary'!C:C)</f>
        <v>3280</v>
      </c>
      <c r="E16" s="14">
        <f>_xlfn.XLOOKUP($B16,'Average Salary'!$A:$A,'Average Salary'!D:D)</f>
        <v>200</v>
      </c>
      <c r="F16" s="14">
        <f>_xlfn.XLOOKUP($B16,'Average Salary'!$A:$A,'Average Salary'!E:E)</f>
        <v>809.48523000000012</v>
      </c>
    </row>
    <row r="17" spans="1:6" x14ac:dyDescent="0.35">
      <c r="A17" s="4" t="s">
        <v>31</v>
      </c>
      <c r="B17" s="4">
        <v>7</v>
      </c>
      <c r="C17" s="14">
        <f>_xlfn.XLOOKUP(B17,'Average Salary'!A:A,'Average Salary'!B:B)</f>
        <v>78480</v>
      </c>
      <c r="D17" s="14">
        <f>_xlfn.XLOOKUP($B17,'Average Salary'!$A:$A,'Average Salary'!C:C)</f>
        <v>3530</v>
      </c>
      <c r="E17" s="14">
        <f>_xlfn.XLOOKUP($B17,'Average Salary'!$A:$A,'Average Salary'!D:D)</f>
        <v>200</v>
      </c>
      <c r="F17" s="14">
        <f>_xlfn.XLOOKUP($B17,'Average Salary'!$A:$A,'Average Salary'!E:E)</f>
        <v>1962</v>
      </c>
    </row>
    <row r="18" spans="1:6" x14ac:dyDescent="0.35">
      <c r="A18" s="4" t="s">
        <v>31</v>
      </c>
      <c r="B18" s="4">
        <v>4</v>
      </c>
      <c r="C18" s="14">
        <f>_xlfn.XLOOKUP(B18,'Average Salary'!A:A,'Average Salary'!B:B)</f>
        <v>33790</v>
      </c>
      <c r="D18" s="14">
        <f>_xlfn.XLOOKUP($B18,'Average Salary'!$A:$A,'Average Salary'!C:C)</f>
        <v>3430</v>
      </c>
      <c r="E18" s="14">
        <f>_xlfn.XLOOKUP($B18,'Average Salary'!$A:$A,'Average Salary'!D:D)</f>
        <v>200</v>
      </c>
      <c r="F18" s="14">
        <f>_xlfn.XLOOKUP($B18,'Average Salary'!$A:$A,'Average Salary'!E:E)</f>
        <v>844.75</v>
      </c>
    </row>
    <row r="19" spans="1:6" x14ac:dyDescent="0.35">
      <c r="A19" s="4" t="s">
        <v>31</v>
      </c>
      <c r="B19" s="4">
        <v>4</v>
      </c>
      <c r="C19" s="14">
        <f>_xlfn.XLOOKUP(B19,'Average Salary'!A:A,'Average Salary'!B:B)</f>
        <v>33790</v>
      </c>
      <c r="D19" s="14">
        <f>_xlfn.XLOOKUP($B19,'Average Salary'!$A:$A,'Average Salary'!C:C)</f>
        <v>3430</v>
      </c>
      <c r="E19" s="14">
        <f>_xlfn.XLOOKUP($B19,'Average Salary'!$A:$A,'Average Salary'!D:D)</f>
        <v>200</v>
      </c>
      <c r="F19" s="14">
        <f>_xlfn.XLOOKUP($B19,'Average Salary'!$A:$A,'Average Salary'!E:E)</f>
        <v>844.75</v>
      </c>
    </row>
    <row r="20" spans="1:6" x14ac:dyDescent="0.35">
      <c r="A20" s="4" t="s">
        <v>31</v>
      </c>
      <c r="B20" s="4">
        <v>4</v>
      </c>
      <c r="C20" s="14">
        <f>_xlfn.XLOOKUP(B20,'Average Salary'!A:A,'Average Salary'!B:B)</f>
        <v>33790</v>
      </c>
      <c r="D20" s="14">
        <f>_xlfn.XLOOKUP($B20,'Average Salary'!$A:$A,'Average Salary'!C:C)</f>
        <v>3430</v>
      </c>
      <c r="E20" s="14">
        <f>_xlfn.XLOOKUP($B20,'Average Salary'!$A:$A,'Average Salary'!D:D)</f>
        <v>200</v>
      </c>
      <c r="F20" s="14">
        <f>_xlfn.XLOOKUP($B20,'Average Salary'!$A:$A,'Average Salary'!E:E)</f>
        <v>844.75</v>
      </c>
    </row>
    <row r="21" spans="1:6" x14ac:dyDescent="0.35">
      <c r="A21" s="4" t="s">
        <v>38</v>
      </c>
      <c r="B21" s="4">
        <v>1</v>
      </c>
      <c r="C21" s="14">
        <f>_xlfn.XLOOKUP(B21,'Average Salary'!A:A,'Average Salary'!B:B)</f>
        <v>32379.409200000002</v>
      </c>
      <c r="D21" s="14">
        <f>_xlfn.XLOOKUP($B21,'Average Salary'!$A:$A,'Average Salary'!C:C)</f>
        <v>3280</v>
      </c>
      <c r="E21" s="14">
        <f>_xlfn.XLOOKUP($B21,'Average Salary'!$A:$A,'Average Salary'!D:D)</f>
        <v>200</v>
      </c>
      <c r="F21" s="14">
        <f>_xlfn.XLOOKUP($B21,'Average Salary'!$A:$A,'Average Salary'!E:E)</f>
        <v>809.48523000000012</v>
      </c>
    </row>
    <row r="22" spans="1:6" x14ac:dyDescent="0.35">
      <c r="A22" s="4" t="s">
        <v>31</v>
      </c>
      <c r="B22" s="4">
        <v>8</v>
      </c>
      <c r="C22" s="14">
        <f>_xlfn.XLOOKUP(B22,'Average Salary'!A:A,'Average Salary'!B:B)</f>
        <v>115927.90920000001</v>
      </c>
      <c r="D22" s="14">
        <f>_xlfn.XLOOKUP($B22,'Average Salary'!$A:$A,'Average Salary'!C:C)</f>
        <v>3530</v>
      </c>
      <c r="E22" s="14">
        <f>_xlfn.XLOOKUP($B22,'Average Salary'!$A:$A,'Average Salary'!D:D)</f>
        <v>200</v>
      </c>
      <c r="F22" s="14">
        <f>_xlfn.XLOOKUP($B22,'Average Salary'!$A:$A,'Average Salary'!E:E)</f>
        <v>2500</v>
      </c>
    </row>
    <row r="23" spans="1:6" x14ac:dyDescent="0.35">
      <c r="A23" s="4" t="s">
        <v>31</v>
      </c>
      <c r="B23" s="4">
        <v>3</v>
      </c>
      <c r="C23" s="14">
        <f>_xlfn.XLOOKUP(B23,'Average Salary'!A:A,'Average Salary'!B:B)</f>
        <v>25070.000000000004</v>
      </c>
      <c r="D23" s="14">
        <f>_xlfn.XLOOKUP($B23,'Average Salary'!$A:$A,'Average Salary'!C:C)</f>
        <v>2530</v>
      </c>
      <c r="E23" s="14">
        <f>_xlfn.XLOOKUP($B23,'Average Salary'!$A:$A,'Average Salary'!D:D)</f>
        <v>200</v>
      </c>
      <c r="F23" s="14">
        <f>_xlfn.XLOOKUP($B23,'Average Salary'!$A:$A,'Average Salary'!E:E)</f>
        <v>626.75000000000011</v>
      </c>
    </row>
    <row r="24" spans="1:6" x14ac:dyDescent="0.35">
      <c r="A24" s="4" t="s">
        <v>31</v>
      </c>
      <c r="B24" s="4">
        <v>3</v>
      </c>
      <c r="C24" s="14">
        <f>_xlfn.XLOOKUP(B24,'Average Salary'!A:A,'Average Salary'!B:B)</f>
        <v>25070.000000000004</v>
      </c>
      <c r="D24" s="14">
        <f>_xlfn.XLOOKUP($B24,'Average Salary'!$A:$A,'Average Salary'!C:C)</f>
        <v>2530</v>
      </c>
      <c r="E24" s="14">
        <f>_xlfn.XLOOKUP($B24,'Average Salary'!$A:$A,'Average Salary'!D:D)</f>
        <v>200</v>
      </c>
      <c r="F24" s="14">
        <f>_xlfn.XLOOKUP($B24,'Average Salary'!$A:$A,'Average Salary'!E:E)</f>
        <v>626.75000000000011</v>
      </c>
    </row>
    <row r="25" spans="1:6" x14ac:dyDescent="0.35">
      <c r="A25" s="4" t="s">
        <v>31</v>
      </c>
      <c r="B25" s="4">
        <v>3</v>
      </c>
      <c r="C25" s="14">
        <f>_xlfn.XLOOKUP(B25,'Average Salary'!A:A,'Average Salary'!B:B)</f>
        <v>25070.000000000004</v>
      </c>
      <c r="D25" s="14">
        <f>_xlfn.XLOOKUP($B25,'Average Salary'!$A:$A,'Average Salary'!C:C)</f>
        <v>2530</v>
      </c>
      <c r="E25" s="14">
        <f>_xlfn.XLOOKUP($B25,'Average Salary'!$A:$A,'Average Salary'!D:D)</f>
        <v>200</v>
      </c>
      <c r="F25" s="14">
        <f>_xlfn.XLOOKUP($B25,'Average Salary'!$A:$A,'Average Salary'!E:E)</f>
        <v>626.75000000000011</v>
      </c>
    </row>
    <row r="26" spans="1:6" x14ac:dyDescent="0.35">
      <c r="A26" s="4" t="s">
        <v>31</v>
      </c>
      <c r="B26" s="4">
        <v>6</v>
      </c>
      <c r="C26" s="14">
        <f>_xlfn.XLOOKUP(B26,'Average Salary'!A:A,'Average Salary'!B:B)</f>
        <v>62130.000000000007</v>
      </c>
      <c r="D26" s="14">
        <f>_xlfn.XLOOKUP($B26,'Average Salary'!$A:$A,'Average Salary'!C:C)</f>
        <v>3530</v>
      </c>
      <c r="E26" s="14">
        <f>_xlfn.XLOOKUP($B26,'Average Salary'!$A:$A,'Average Salary'!D:D)</f>
        <v>200</v>
      </c>
      <c r="F26" s="14">
        <f>_xlfn.XLOOKUP($B26,'Average Salary'!$A:$A,'Average Salary'!E:E)</f>
        <v>1553.2500000000002</v>
      </c>
    </row>
    <row r="27" spans="1:6" x14ac:dyDescent="0.35">
      <c r="A27" s="4" t="s">
        <v>31</v>
      </c>
      <c r="B27" s="4">
        <v>5</v>
      </c>
      <c r="C27" s="14">
        <f>_xlfn.XLOOKUP(B27,'Average Salary'!A:A,'Average Salary'!B:B)</f>
        <v>42510</v>
      </c>
      <c r="D27" s="14">
        <f>_xlfn.XLOOKUP($B27,'Average Salary'!$A:$A,'Average Salary'!C:C)</f>
        <v>3530</v>
      </c>
      <c r="E27" s="14">
        <f>_xlfn.XLOOKUP($B27,'Average Salary'!$A:$A,'Average Salary'!D:D)</f>
        <v>200</v>
      </c>
      <c r="F27" s="14">
        <f>_xlfn.XLOOKUP($B27,'Average Salary'!$A:$A,'Average Salary'!E:E)</f>
        <v>1062.75</v>
      </c>
    </row>
    <row r="28" spans="1:6" x14ac:dyDescent="0.35">
      <c r="A28" s="4" t="s">
        <v>38</v>
      </c>
      <c r="B28" s="4">
        <v>1</v>
      </c>
      <c r="C28" s="14">
        <f>_xlfn.XLOOKUP(B28,'Average Salary'!A:A,'Average Salary'!B:B)</f>
        <v>32379.409200000002</v>
      </c>
      <c r="D28" s="14">
        <f>_xlfn.XLOOKUP($B28,'Average Salary'!$A:$A,'Average Salary'!C:C)</f>
        <v>3280</v>
      </c>
      <c r="E28" s="14">
        <f>_xlfn.XLOOKUP($B28,'Average Salary'!$A:$A,'Average Salary'!D:D)</f>
        <v>200</v>
      </c>
      <c r="F28" s="14">
        <f>_xlfn.XLOOKUP($B28,'Average Salary'!$A:$A,'Average Salary'!E:E)</f>
        <v>809.48523000000012</v>
      </c>
    </row>
    <row r="29" spans="1:6" x14ac:dyDescent="0.35">
      <c r="A29" s="4" t="s">
        <v>31</v>
      </c>
      <c r="B29" s="4">
        <v>8</v>
      </c>
      <c r="C29" s="14">
        <f>_xlfn.XLOOKUP(B29,'Average Salary'!A:A,'Average Salary'!B:B)</f>
        <v>115927.90920000001</v>
      </c>
      <c r="D29" s="14">
        <f>_xlfn.XLOOKUP($B29,'Average Salary'!$A:$A,'Average Salary'!C:C)</f>
        <v>3530</v>
      </c>
      <c r="E29" s="14">
        <f>_xlfn.XLOOKUP($B29,'Average Salary'!$A:$A,'Average Salary'!D:D)</f>
        <v>200</v>
      </c>
      <c r="F29" s="14">
        <f>_xlfn.XLOOKUP($B29,'Average Salary'!$A:$A,'Average Salary'!E:E)</f>
        <v>2500</v>
      </c>
    </row>
    <row r="30" spans="1:6" x14ac:dyDescent="0.35">
      <c r="A30" s="4" t="s">
        <v>31</v>
      </c>
      <c r="B30" s="4">
        <v>4</v>
      </c>
      <c r="C30" s="14">
        <f>_xlfn.XLOOKUP(B30,'Average Salary'!A:A,'Average Salary'!B:B)</f>
        <v>33790</v>
      </c>
      <c r="D30" s="14">
        <f>_xlfn.XLOOKUP($B30,'Average Salary'!$A:$A,'Average Salary'!C:C)</f>
        <v>3430</v>
      </c>
      <c r="E30" s="14">
        <f>_xlfn.XLOOKUP($B30,'Average Salary'!$A:$A,'Average Salary'!D:D)</f>
        <v>200</v>
      </c>
      <c r="F30" s="14">
        <f>_xlfn.XLOOKUP($B30,'Average Salary'!$A:$A,'Average Salary'!E:E)</f>
        <v>844.75</v>
      </c>
    </row>
    <row r="31" spans="1:6" x14ac:dyDescent="0.35">
      <c r="A31" s="4" t="s">
        <v>31</v>
      </c>
      <c r="B31" s="4">
        <v>7</v>
      </c>
      <c r="C31" s="14">
        <f>_xlfn.XLOOKUP(B31,'Average Salary'!A:A,'Average Salary'!B:B)</f>
        <v>78480</v>
      </c>
      <c r="D31" s="14">
        <f>_xlfn.XLOOKUP($B31,'Average Salary'!$A:$A,'Average Salary'!C:C)</f>
        <v>3530</v>
      </c>
      <c r="E31" s="14">
        <f>_xlfn.XLOOKUP($B31,'Average Salary'!$A:$A,'Average Salary'!D:D)</f>
        <v>200</v>
      </c>
      <c r="F31" s="14">
        <f>_xlfn.XLOOKUP($B31,'Average Salary'!$A:$A,'Average Salary'!E:E)</f>
        <v>1962</v>
      </c>
    </row>
    <row r="32" spans="1:6" x14ac:dyDescent="0.35">
      <c r="A32" s="4" t="s">
        <v>38</v>
      </c>
      <c r="B32" s="4">
        <v>1</v>
      </c>
      <c r="C32" s="14">
        <f>_xlfn.XLOOKUP(B32,'Average Salary'!A:A,'Average Salary'!B:B)</f>
        <v>32379.409200000002</v>
      </c>
      <c r="D32" s="14">
        <f>_xlfn.XLOOKUP($B32,'Average Salary'!$A:$A,'Average Salary'!C:C)</f>
        <v>3280</v>
      </c>
      <c r="E32" s="14">
        <f>_xlfn.XLOOKUP($B32,'Average Salary'!$A:$A,'Average Salary'!D:D)</f>
        <v>200</v>
      </c>
      <c r="F32" s="14">
        <f>_xlfn.XLOOKUP($B32,'Average Salary'!$A:$A,'Average Salary'!E:E)</f>
        <v>809.48523000000012</v>
      </c>
    </row>
    <row r="33" spans="1:6" x14ac:dyDescent="0.35">
      <c r="A33" s="4" t="s">
        <v>38</v>
      </c>
      <c r="B33" s="4">
        <v>1</v>
      </c>
      <c r="C33" s="14">
        <f>_xlfn.XLOOKUP(B33,'Average Salary'!A:A,'Average Salary'!B:B)</f>
        <v>32379.409200000002</v>
      </c>
      <c r="D33" s="14">
        <f>_xlfn.XLOOKUP($B33,'Average Salary'!$A:$A,'Average Salary'!C:C)</f>
        <v>3280</v>
      </c>
      <c r="E33" s="14">
        <f>_xlfn.XLOOKUP($B33,'Average Salary'!$A:$A,'Average Salary'!D:D)</f>
        <v>200</v>
      </c>
      <c r="F33" s="14">
        <f>_xlfn.XLOOKUP($B33,'Average Salary'!$A:$A,'Average Salary'!E:E)</f>
        <v>809.48523000000012</v>
      </c>
    </row>
    <row r="34" spans="1:6" x14ac:dyDescent="0.35">
      <c r="A34" s="4" t="s">
        <v>31</v>
      </c>
      <c r="B34" s="4">
        <v>3</v>
      </c>
      <c r="C34" s="14">
        <f>_xlfn.XLOOKUP(B34,'Average Salary'!A:A,'Average Salary'!B:B)</f>
        <v>25070.000000000004</v>
      </c>
      <c r="D34" s="14">
        <f>_xlfn.XLOOKUP($B34,'Average Salary'!$A:$A,'Average Salary'!C:C)</f>
        <v>2530</v>
      </c>
      <c r="E34" s="14">
        <f>_xlfn.XLOOKUP($B34,'Average Salary'!$A:$A,'Average Salary'!D:D)</f>
        <v>200</v>
      </c>
      <c r="F34" s="14">
        <f>_xlfn.XLOOKUP($B34,'Average Salary'!$A:$A,'Average Salary'!E:E)</f>
        <v>626.75000000000011</v>
      </c>
    </row>
    <row r="35" spans="1:6" x14ac:dyDescent="0.35">
      <c r="A35" s="4" t="s">
        <v>31</v>
      </c>
      <c r="B35" s="4">
        <v>5</v>
      </c>
      <c r="C35" s="14">
        <f>_xlfn.XLOOKUP(B35,'Average Salary'!A:A,'Average Salary'!B:B)</f>
        <v>42510</v>
      </c>
      <c r="D35" s="14">
        <f>_xlfn.XLOOKUP($B35,'Average Salary'!$A:$A,'Average Salary'!C:C)</f>
        <v>3530</v>
      </c>
      <c r="E35" s="14">
        <f>_xlfn.XLOOKUP($B35,'Average Salary'!$A:$A,'Average Salary'!D:D)</f>
        <v>200</v>
      </c>
      <c r="F35" s="14">
        <f>_xlfn.XLOOKUP($B35,'Average Salary'!$A:$A,'Average Salary'!E:E)</f>
        <v>1062.75</v>
      </c>
    </row>
    <row r="36" spans="1:6" x14ac:dyDescent="0.35">
      <c r="A36" s="4" t="s">
        <v>38</v>
      </c>
      <c r="B36" s="4">
        <v>1</v>
      </c>
      <c r="C36" s="14">
        <f>_xlfn.XLOOKUP(B36,'Average Salary'!A:A,'Average Salary'!B:B)</f>
        <v>32379.409200000002</v>
      </c>
      <c r="D36" s="14">
        <f>_xlfn.XLOOKUP($B36,'Average Salary'!$A:$A,'Average Salary'!C:C)</f>
        <v>3280</v>
      </c>
      <c r="E36" s="14">
        <f>_xlfn.XLOOKUP($B36,'Average Salary'!$A:$A,'Average Salary'!D:D)</f>
        <v>200</v>
      </c>
      <c r="F36" s="14">
        <f>_xlfn.XLOOKUP($B36,'Average Salary'!$A:$A,'Average Salary'!E:E)</f>
        <v>809.48523000000012</v>
      </c>
    </row>
    <row r="37" spans="1:6" x14ac:dyDescent="0.35">
      <c r="A37" s="4" t="s">
        <v>31</v>
      </c>
      <c r="B37" s="4">
        <v>5</v>
      </c>
      <c r="C37" s="14">
        <f>_xlfn.XLOOKUP(B37,'Average Salary'!A:A,'Average Salary'!B:B)</f>
        <v>42510</v>
      </c>
      <c r="D37" s="14">
        <f>_xlfn.XLOOKUP($B37,'Average Salary'!$A:$A,'Average Salary'!C:C)</f>
        <v>3530</v>
      </c>
      <c r="E37" s="14">
        <f>_xlfn.XLOOKUP($B37,'Average Salary'!$A:$A,'Average Salary'!D:D)</f>
        <v>200</v>
      </c>
      <c r="F37" s="14">
        <f>_xlfn.XLOOKUP($B37,'Average Salary'!$A:$A,'Average Salary'!E:E)</f>
        <v>1062.75</v>
      </c>
    </row>
    <row r="38" spans="1:6" x14ac:dyDescent="0.35">
      <c r="A38" s="4" t="s">
        <v>31</v>
      </c>
      <c r="B38" s="4">
        <v>3</v>
      </c>
      <c r="C38" s="14">
        <f>_xlfn.XLOOKUP(B38,'Average Salary'!A:A,'Average Salary'!B:B)</f>
        <v>25070.000000000004</v>
      </c>
      <c r="D38" s="14">
        <f>_xlfn.XLOOKUP($B38,'Average Salary'!$A:$A,'Average Salary'!C:C)</f>
        <v>2530</v>
      </c>
      <c r="E38" s="14">
        <f>_xlfn.XLOOKUP($B38,'Average Salary'!$A:$A,'Average Salary'!D:D)</f>
        <v>200</v>
      </c>
      <c r="F38" s="14">
        <f>_xlfn.XLOOKUP($B38,'Average Salary'!$A:$A,'Average Salary'!E:E)</f>
        <v>626.75000000000011</v>
      </c>
    </row>
    <row r="39" spans="1:6" x14ac:dyDescent="0.35">
      <c r="A39" s="4" t="s">
        <v>38</v>
      </c>
      <c r="B39" s="4">
        <v>1</v>
      </c>
      <c r="C39" s="14">
        <f>_xlfn.XLOOKUP(B39,'Average Salary'!A:A,'Average Salary'!B:B)</f>
        <v>32379.409200000002</v>
      </c>
      <c r="D39" s="14">
        <f>_xlfn.XLOOKUP($B39,'Average Salary'!$A:$A,'Average Salary'!C:C)</f>
        <v>3280</v>
      </c>
      <c r="E39" s="14">
        <f>_xlfn.XLOOKUP($B39,'Average Salary'!$A:$A,'Average Salary'!D:D)</f>
        <v>200</v>
      </c>
      <c r="F39" s="14">
        <f>_xlfn.XLOOKUP($B39,'Average Salary'!$A:$A,'Average Salary'!E:E)</f>
        <v>809.48523000000012</v>
      </c>
    </row>
    <row r="40" spans="1:6" x14ac:dyDescent="0.35">
      <c r="A40" s="4" t="s">
        <v>38</v>
      </c>
      <c r="B40" s="4">
        <v>1</v>
      </c>
      <c r="C40" s="14">
        <f>_xlfn.XLOOKUP(B40,'Average Salary'!A:A,'Average Salary'!B:B)</f>
        <v>32379.409200000002</v>
      </c>
      <c r="D40" s="14">
        <f>_xlfn.XLOOKUP($B40,'Average Salary'!$A:$A,'Average Salary'!C:C)</f>
        <v>3280</v>
      </c>
      <c r="E40" s="14">
        <f>_xlfn.XLOOKUP($B40,'Average Salary'!$A:$A,'Average Salary'!D:D)</f>
        <v>200</v>
      </c>
      <c r="F40" s="14">
        <f>_xlfn.XLOOKUP($B40,'Average Salary'!$A:$A,'Average Salary'!E:E)</f>
        <v>809.48523000000012</v>
      </c>
    </row>
    <row r="41" spans="1:6" x14ac:dyDescent="0.35">
      <c r="A41" s="4" t="s">
        <v>31</v>
      </c>
      <c r="B41" s="4">
        <v>4</v>
      </c>
      <c r="C41" s="14">
        <f>_xlfn.XLOOKUP(B41,'Average Salary'!A:A,'Average Salary'!B:B)</f>
        <v>33790</v>
      </c>
      <c r="D41" s="14">
        <f>_xlfn.XLOOKUP($B41,'Average Salary'!$A:$A,'Average Salary'!C:C)</f>
        <v>3430</v>
      </c>
      <c r="E41" s="14">
        <f>_xlfn.XLOOKUP($B41,'Average Salary'!$A:$A,'Average Salary'!D:D)</f>
        <v>200</v>
      </c>
      <c r="F41" s="14">
        <f>_xlfn.XLOOKUP($B41,'Average Salary'!$A:$A,'Average Salary'!E:E)</f>
        <v>844.75</v>
      </c>
    </row>
    <row r="42" spans="1:6" x14ac:dyDescent="0.35">
      <c r="A42" s="4" t="s">
        <v>31</v>
      </c>
      <c r="B42" s="4">
        <v>5</v>
      </c>
      <c r="C42" s="14">
        <f>_xlfn.XLOOKUP(B42,'Average Salary'!A:A,'Average Salary'!B:B)</f>
        <v>42510</v>
      </c>
      <c r="D42" s="14">
        <f>_xlfn.XLOOKUP($B42,'Average Salary'!$A:$A,'Average Salary'!C:C)</f>
        <v>3530</v>
      </c>
      <c r="E42" s="14">
        <f>_xlfn.XLOOKUP($B42,'Average Salary'!$A:$A,'Average Salary'!D:D)</f>
        <v>200</v>
      </c>
      <c r="F42" s="14">
        <f>_xlfn.XLOOKUP($B42,'Average Salary'!$A:$A,'Average Salary'!E:E)</f>
        <v>1062.75</v>
      </c>
    </row>
    <row r="43" spans="1:6" x14ac:dyDescent="0.35">
      <c r="A43" s="4" t="s">
        <v>31</v>
      </c>
      <c r="B43" s="4">
        <v>3</v>
      </c>
      <c r="C43" s="14">
        <f>_xlfn.XLOOKUP(B43,'Average Salary'!A:A,'Average Salary'!B:B)</f>
        <v>25070.000000000004</v>
      </c>
      <c r="D43" s="14">
        <f>_xlfn.XLOOKUP($B43,'Average Salary'!$A:$A,'Average Salary'!C:C)</f>
        <v>2530</v>
      </c>
      <c r="E43" s="14">
        <f>_xlfn.XLOOKUP($B43,'Average Salary'!$A:$A,'Average Salary'!D:D)</f>
        <v>200</v>
      </c>
      <c r="F43" s="14">
        <f>_xlfn.XLOOKUP($B43,'Average Salary'!$A:$A,'Average Salary'!E:E)</f>
        <v>626.75000000000011</v>
      </c>
    </row>
    <row r="44" spans="1:6" x14ac:dyDescent="0.35">
      <c r="A44" s="4" t="s">
        <v>31</v>
      </c>
      <c r="B44" s="4">
        <v>5</v>
      </c>
      <c r="C44" s="14">
        <f>_xlfn.XLOOKUP(B44,'Average Salary'!A:A,'Average Salary'!B:B)</f>
        <v>42510</v>
      </c>
      <c r="D44" s="14">
        <f>_xlfn.XLOOKUP($B44,'Average Salary'!$A:$A,'Average Salary'!C:C)</f>
        <v>3530</v>
      </c>
      <c r="E44" s="14">
        <f>_xlfn.XLOOKUP($B44,'Average Salary'!$A:$A,'Average Salary'!D:D)</f>
        <v>200</v>
      </c>
      <c r="F44" s="14">
        <f>_xlfn.XLOOKUP($B44,'Average Salary'!$A:$A,'Average Salary'!E:E)</f>
        <v>1062.75</v>
      </c>
    </row>
    <row r="45" spans="1:6" x14ac:dyDescent="0.35">
      <c r="A45" s="4" t="s">
        <v>31</v>
      </c>
      <c r="B45" s="4">
        <v>3</v>
      </c>
      <c r="C45" s="14">
        <f>_xlfn.XLOOKUP(B45,'Average Salary'!A:A,'Average Salary'!B:B)</f>
        <v>25070.000000000004</v>
      </c>
      <c r="D45" s="14">
        <f>_xlfn.XLOOKUP($B45,'Average Salary'!$A:$A,'Average Salary'!C:C)</f>
        <v>2530</v>
      </c>
      <c r="E45" s="14">
        <f>_xlfn.XLOOKUP($B45,'Average Salary'!$A:$A,'Average Salary'!D:D)</f>
        <v>200</v>
      </c>
      <c r="F45" s="14">
        <f>_xlfn.XLOOKUP($B45,'Average Salary'!$A:$A,'Average Salary'!E:E)</f>
        <v>626.75000000000011</v>
      </c>
    </row>
    <row r="46" spans="1:6" x14ac:dyDescent="0.35">
      <c r="A46" s="4" t="s">
        <v>38</v>
      </c>
      <c r="B46" s="4">
        <v>1</v>
      </c>
      <c r="C46" s="14">
        <f>_xlfn.XLOOKUP(B46,'Average Salary'!A:A,'Average Salary'!B:B)</f>
        <v>32379.409200000002</v>
      </c>
      <c r="D46" s="14">
        <f>_xlfn.XLOOKUP($B46,'Average Salary'!$A:$A,'Average Salary'!C:C)</f>
        <v>3280</v>
      </c>
      <c r="E46" s="14">
        <f>_xlfn.XLOOKUP($B46,'Average Salary'!$A:$A,'Average Salary'!D:D)</f>
        <v>200</v>
      </c>
      <c r="F46" s="14">
        <f>_xlfn.XLOOKUP($B46,'Average Salary'!$A:$A,'Average Salary'!E:E)</f>
        <v>809.48523000000012</v>
      </c>
    </row>
    <row r="47" spans="1:6" x14ac:dyDescent="0.35">
      <c r="A47" s="4" t="s">
        <v>31</v>
      </c>
      <c r="B47" s="4">
        <v>8</v>
      </c>
      <c r="C47" s="14">
        <f>_xlfn.XLOOKUP(B47,'Average Salary'!A:A,'Average Salary'!B:B)</f>
        <v>115927.90920000001</v>
      </c>
      <c r="D47" s="14">
        <f>_xlfn.XLOOKUP($B47,'Average Salary'!$A:$A,'Average Salary'!C:C)</f>
        <v>3530</v>
      </c>
      <c r="E47" s="14">
        <f>_xlfn.XLOOKUP($B47,'Average Salary'!$A:$A,'Average Salary'!D:D)</f>
        <v>200</v>
      </c>
      <c r="F47" s="14">
        <f>_xlfn.XLOOKUP($B47,'Average Salary'!$A:$A,'Average Salary'!E:E)</f>
        <v>2500</v>
      </c>
    </row>
    <row r="48" spans="1:6" x14ac:dyDescent="0.35">
      <c r="A48" s="4" t="s">
        <v>31</v>
      </c>
      <c r="B48" s="4">
        <v>5</v>
      </c>
      <c r="C48" s="14">
        <f>_xlfn.XLOOKUP(B48,'Average Salary'!A:A,'Average Salary'!B:B)</f>
        <v>42510</v>
      </c>
      <c r="D48" s="14">
        <f>_xlfn.XLOOKUP($B48,'Average Salary'!$A:$A,'Average Salary'!C:C)</f>
        <v>3530</v>
      </c>
      <c r="E48" s="14">
        <f>_xlfn.XLOOKUP($B48,'Average Salary'!$A:$A,'Average Salary'!D:D)</f>
        <v>200</v>
      </c>
      <c r="F48" s="14">
        <f>_xlfn.XLOOKUP($B48,'Average Salary'!$A:$A,'Average Salary'!E:E)</f>
        <v>1062.75</v>
      </c>
    </row>
    <row r="49" spans="1:6" x14ac:dyDescent="0.35">
      <c r="A49" s="4" t="s">
        <v>31</v>
      </c>
      <c r="B49" s="4">
        <v>4</v>
      </c>
      <c r="C49" s="14">
        <f>_xlfn.XLOOKUP(B49,'Average Salary'!A:A,'Average Salary'!B:B)</f>
        <v>33790</v>
      </c>
      <c r="D49" s="14">
        <f>_xlfn.XLOOKUP($B49,'Average Salary'!$A:$A,'Average Salary'!C:C)</f>
        <v>3430</v>
      </c>
      <c r="E49" s="14">
        <f>_xlfn.XLOOKUP($B49,'Average Salary'!$A:$A,'Average Salary'!D:D)</f>
        <v>200</v>
      </c>
      <c r="F49" s="14">
        <f>_xlfn.XLOOKUP($B49,'Average Salary'!$A:$A,'Average Salary'!E:E)</f>
        <v>844.75</v>
      </c>
    </row>
    <row r="50" spans="1:6" x14ac:dyDescent="0.35">
      <c r="A50" s="4" t="s">
        <v>31</v>
      </c>
      <c r="B50" s="4">
        <v>5</v>
      </c>
      <c r="C50" s="14">
        <f>_xlfn.XLOOKUP(B50,'Average Salary'!A:A,'Average Salary'!B:B)</f>
        <v>42510</v>
      </c>
      <c r="D50" s="14">
        <f>_xlfn.XLOOKUP($B50,'Average Salary'!$A:$A,'Average Salary'!C:C)</f>
        <v>3530</v>
      </c>
      <c r="E50" s="14">
        <f>_xlfn.XLOOKUP($B50,'Average Salary'!$A:$A,'Average Salary'!D:D)</f>
        <v>200</v>
      </c>
      <c r="F50" s="14">
        <f>_xlfn.XLOOKUP($B50,'Average Salary'!$A:$A,'Average Salary'!E:E)</f>
        <v>1062.75</v>
      </c>
    </row>
    <row r="51" spans="1:6" x14ac:dyDescent="0.35">
      <c r="A51" s="4" t="s">
        <v>31</v>
      </c>
      <c r="B51" s="4">
        <v>5</v>
      </c>
      <c r="C51" s="14">
        <f>_xlfn.XLOOKUP(B51,'Average Salary'!A:A,'Average Salary'!B:B)</f>
        <v>42510</v>
      </c>
      <c r="D51" s="14">
        <f>_xlfn.XLOOKUP($B51,'Average Salary'!$A:$A,'Average Salary'!C:C)</f>
        <v>3530</v>
      </c>
      <c r="E51" s="14">
        <f>_xlfn.XLOOKUP($B51,'Average Salary'!$A:$A,'Average Salary'!D:D)</f>
        <v>200</v>
      </c>
      <c r="F51" s="14">
        <f>_xlfn.XLOOKUP($B51,'Average Salary'!$A:$A,'Average Salary'!E:E)</f>
        <v>1062.75</v>
      </c>
    </row>
    <row r="52" spans="1:6" x14ac:dyDescent="0.35">
      <c r="A52" s="4" t="s">
        <v>31</v>
      </c>
      <c r="B52" s="4">
        <v>3</v>
      </c>
      <c r="C52" s="14">
        <f>_xlfn.XLOOKUP(B52,'Average Salary'!A:A,'Average Salary'!B:B)</f>
        <v>25070.000000000004</v>
      </c>
      <c r="D52" s="14">
        <f>_xlfn.XLOOKUP($B52,'Average Salary'!$A:$A,'Average Salary'!C:C)</f>
        <v>2530</v>
      </c>
      <c r="E52" s="14">
        <f>_xlfn.XLOOKUP($B52,'Average Salary'!$A:$A,'Average Salary'!D:D)</f>
        <v>200</v>
      </c>
      <c r="F52" s="14">
        <f>_xlfn.XLOOKUP($B52,'Average Salary'!$A:$A,'Average Salary'!E:E)</f>
        <v>626.75000000000011</v>
      </c>
    </row>
    <row r="53" spans="1:6" x14ac:dyDescent="0.35">
      <c r="A53" s="4" t="s">
        <v>31</v>
      </c>
      <c r="B53" s="4">
        <v>5</v>
      </c>
      <c r="C53" s="14">
        <f>_xlfn.XLOOKUP(B53,'Average Salary'!A:A,'Average Salary'!B:B)</f>
        <v>42510</v>
      </c>
      <c r="D53" s="14">
        <f>_xlfn.XLOOKUP($B53,'Average Salary'!$A:$A,'Average Salary'!C:C)</f>
        <v>3530</v>
      </c>
      <c r="E53" s="14">
        <f>_xlfn.XLOOKUP($B53,'Average Salary'!$A:$A,'Average Salary'!D:D)</f>
        <v>200</v>
      </c>
      <c r="F53" s="14">
        <f>_xlfn.XLOOKUP($B53,'Average Salary'!$A:$A,'Average Salary'!E:E)</f>
        <v>1062.75</v>
      </c>
    </row>
    <row r="54" spans="1:6" x14ac:dyDescent="0.35">
      <c r="A54" s="4" t="s">
        <v>31</v>
      </c>
      <c r="B54" s="4">
        <v>4</v>
      </c>
      <c r="C54" s="14">
        <f>_xlfn.XLOOKUP(B54,'Average Salary'!A:A,'Average Salary'!B:B)</f>
        <v>33790</v>
      </c>
      <c r="D54" s="14">
        <f>_xlfn.XLOOKUP($B54,'Average Salary'!$A:$A,'Average Salary'!C:C)</f>
        <v>3430</v>
      </c>
      <c r="E54" s="14">
        <f>_xlfn.XLOOKUP($B54,'Average Salary'!$A:$A,'Average Salary'!D:D)</f>
        <v>200</v>
      </c>
      <c r="F54" s="14">
        <f>_xlfn.XLOOKUP($B54,'Average Salary'!$A:$A,'Average Salary'!E:E)</f>
        <v>844.75</v>
      </c>
    </row>
    <row r="55" spans="1:6" x14ac:dyDescent="0.35">
      <c r="A55" s="4" t="s">
        <v>38</v>
      </c>
      <c r="B55" s="4">
        <v>1</v>
      </c>
      <c r="C55" s="14">
        <f>_xlfn.XLOOKUP(B55,'Average Salary'!A:A,'Average Salary'!B:B)</f>
        <v>32379.409200000002</v>
      </c>
      <c r="D55" s="14">
        <f>_xlfn.XLOOKUP($B55,'Average Salary'!$A:$A,'Average Salary'!C:C)</f>
        <v>3280</v>
      </c>
      <c r="E55" s="14">
        <f>_xlfn.XLOOKUP($B55,'Average Salary'!$A:$A,'Average Salary'!D:D)</f>
        <v>200</v>
      </c>
      <c r="F55" s="14">
        <f>_xlfn.XLOOKUP($B55,'Average Salary'!$A:$A,'Average Salary'!E:E)</f>
        <v>809.48523000000012</v>
      </c>
    </row>
    <row r="56" spans="1:6" x14ac:dyDescent="0.35">
      <c r="A56" s="4" t="s">
        <v>31</v>
      </c>
      <c r="B56" s="4">
        <v>8</v>
      </c>
      <c r="C56" s="14">
        <f>_xlfn.XLOOKUP(B56,'Average Salary'!A:A,'Average Salary'!B:B)</f>
        <v>115927.90920000001</v>
      </c>
      <c r="D56" s="14">
        <f>_xlfn.XLOOKUP($B56,'Average Salary'!$A:$A,'Average Salary'!C:C)</f>
        <v>3530</v>
      </c>
      <c r="E56" s="14">
        <f>_xlfn.XLOOKUP($B56,'Average Salary'!$A:$A,'Average Salary'!D:D)</f>
        <v>200</v>
      </c>
      <c r="F56" s="14">
        <f>_xlfn.XLOOKUP($B56,'Average Salary'!$A:$A,'Average Salary'!E:E)</f>
        <v>2500</v>
      </c>
    </row>
    <row r="57" spans="1:6" x14ac:dyDescent="0.35">
      <c r="A57" s="4" t="s">
        <v>31</v>
      </c>
      <c r="B57" s="4">
        <v>5</v>
      </c>
      <c r="C57" s="14">
        <f>_xlfn.XLOOKUP(B57,'Average Salary'!A:A,'Average Salary'!B:B)</f>
        <v>42510</v>
      </c>
      <c r="D57" s="14">
        <f>_xlfn.XLOOKUP($B57,'Average Salary'!$A:$A,'Average Salary'!C:C)</f>
        <v>3530</v>
      </c>
      <c r="E57" s="14">
        <f>_xlfn.XLOOKUP($B57,'Average Salary'!$A:$A,'Average Salary'!D:D)</f>
        <v>200</v>
      </c>
      <c r="F57" s="14">
        <f>_xlfn.XLOOKUP($B57,'Average Salary'!$A:$A,'Average Salary'!E:E)</f>
        <v>1062.75</v>
      </c>
    </row>
    <row r="58" spans="1:6" x14ac:dyDescent="0.35">
      <c r="A58" s="4" t="s">
        <v>38</v>
      </c>
      <c r="B58" s="4">
        <v>1</v>
      </c>
      <c r="C58" s="14">
        <f>_xlfn.XLOOKUP(B58,'Average Salary'!A:A,'Average Salary'!B:B)</f>
        <v>32379.409200000002</v>
      </c>
      <c r="D58" s="14">
        <f>_xlfn.XLOOKUP($B58,'Average Salary'!$A:$A,'Average Salary'!C:C)</f>
        <v>3280</v>
      </c>
      <c r="E58" s="14">
        <f>_xlfn.XLOOKUP($B58,'Average Salary'!$A:$A,'Average Salary'!D:D)</f>
        <v>200</v>
      </c>
      <c r="F58" s="14">
        <f>_xlfn.XLOOKUP($B58,'Average Salary'!$A:$A,'Average Salary'!E:E)</f>
        <v>809.48523000000012</v>
      </c>
    </row>
    <row r="59" spans="1:6" x14ac:dyDescent="0.35">
      <c r="A59" s="4" t="s">
        <v>31</v>
      </c>
      <c r="B59" s="4">
        <v>8</v>
      </c>
      <c r="C59" s="14">
        <f>_xlfn.XLOOKUP(B59,'Average Salary'!A:A,'Average Salary'!B:B)</f>
        <v>115927.90920000001</v>
      </c>
      <c r="D59" s="14">
        <f>_xlfn.XLOOKUP($B59,'Average Salary'!$A:$A,'Average Salary'!C:C)</f>
        <v>3530</v>
      </c>
      <c r="E59" s="14">
        <f>_xlfn.XLOOKUP($B59,'Average Salary'!$A:$A,'Average Salary'!D:D)</f>
        <v>200</v>
      </c>
      <c r="F59" s="14">
        <f>_xlfn.XLOOKUP($B59,'Average Salary'!$A:$A,'Average Salary'!E:E)</f>
        <v>2500</v>
      </c>
    </row>
    <row r="60" spans="1:6" x14ac:dyDescent="0.35">
      <c r="A60" s="4" t="s">
        <v>31</v>
      </c>
      <c r="B60" s="4">
        <v>5</v>
      </c>
      <c r="C60" s="14">
        <f>_xlfn.XLOOKUP(B60,'Average Salary'!A:A,'Average Salary'!B:B)</f>
        <v>42510</v>
      </c>
      <c r="D60" s="14">
        <f>_xlfn.XLOOKUP($B60,'Average Salary'!$A:$A,'Average Salary'!C:C)</f>
        <v>3530</v>
      </c>
      <c r="E60" s="14">
        <f>_xlfn.XLOOKUP($B60,'Average Salary'!$A:$A,'Average Salary'!D:D)</f>
        <v>200</v>
      </c>
      <c r="F60" s="14">
        <f>_xlfn.XLOOKUP($B60,'Average Salary'!$A:$A,'Average Salary'!E:E)</f>
        <v>1062.75</v>
      </c>
    </row>
    <row r="61" spans="1:6" x14ac:dyDescent="0.35">
      <c r="A61" s="4" t="s">
        <v>31</v>
      </c>
      <c r="B61" s="4">
        <v>3</v>
      </c>
      <c r="C61" s="14">
        <f>_xlfn.XLOOKUP(B61,'Average Salary'!A:A,'Average Salary'!B:B)</f>
        <v>25070.000000000004</v>
      </c>
      <c r="D61" s="14">
        <f>_xlfn.XLOOKUP($B61,'Average Salary'!$A:$A,'Average Salary'!C:C)</f>
        <v>2530</v>
      </c>
      <c r="E61" s="14">
        <f>_xlfn.XLOOKUP($B61,'Average Salary'!$A:$A,'Average Salary'!D:D)</f>
        <v>200</v>
      </c>
      <c r="F61" s="14">
        <f>_xlfn.XLOOKUP($B61,'Average Salary'!$A:$A,'Average Salary'!E:E)</f>
        <v>626.75000000000011</v>
      </c>
    </row>
    <row r="62" spans="1:6" x14ac:dyDescent="0.35">
      <c r="A62" s="4" t="s">
        <v>31</v>
      </c>
      <c r="B62" s="4">
        <v>4</v>
      </c>
      <c r="C62" s="14">
        <f>_xlfn.XLOOKUP(B62,'Average Salary'!A:A,'Average Salary'!B:B)</f>
        <v>33790</v>
      </c>
      <c r="D62" s="14">
        <f>_xlfn.XLOOKUP($B62,'Average Salary'!$A:$A,'Average Salary'!C:C)</f>
        <v>3430</v>
      </c>
      <c r="E62" s="14">
        <f>_xlfn.XLOOKUP($B62,'Average Salary'!$A:$A,'Average Salary'!D:D)</f>
        <v>200</v>
      </c>
      <c r="F62" s="14">
        <f>_xlfn.XLOOKUP($B62,'Average Salary'!$A:$A,'Average Salary'!E:E)</f>
        <v>844.75</v>
      </c>
    </row>
    <row r="63" spans="1:6" x14ac:dyDescent="0.35">
      <c r="A63" s="4" t="s">
        <v>31</v>
      </c>
      <c r="B63" s="4">
        <v>3</v>
      </c>
      <c r="C63" s="14">
        <f>_xlfn.XLOOKUP(B63,'Average Salary'!A:A,'Average Salary'!B:B)</f>
        <v>25070.000000000004</v>
      </c>
      <c r="D63" s="14">
        <f>_xlfn.XLOOKUP($B63,'Average Salary'!$A:$A,'Average Salary'!C:C)</f>
        <v>2530</v>
      </c>
      <c r="E63" s="14">
        <f>_xlfn.XLOOKUP($B63,'Average Salary'!$A:$A,'Average Salary'!D:D)</f>
        <v>200</v>
      </c>
      <c r="F63" s="14">
        <f>_xlfn.XLOOKUP($B63,'Average Salary'!$A:$A,'Average Salary'!E:E)</f>
        <v>626.75000000000011</v>
      </c>
    </row>
    <row r="64" spans="1:6" x14ac:dyDescent="0.35">
      <c r="A64" s="4" t="s">
        <v>38</v>
      </c>
      <c r="B64" s="4">
        <v>1</v>
      </c>
      <c r="C64" s="14">
        <f>_xlfn.XLOOKUP(B64,'Average Salary'!A:A,'Average Salary'!B:B)</f>
        <v>32379.409200000002</v>
      </c>
      <c r="D64" s="14">
        <f>_xlfn.XLOOKUP($B64,'Average Salary'!$A:$A,'Average Salary'!C:C)</f>
        <v>3280</v>
      </c>
      <c r="E64" s="14">
        <f>_xlfn.XLOOKUP($B64,'Average Salary'!$A:$A,'Average Salary'!D:D)</f>
        <v>200</v>
      </c>
      <c r="F64" s="14">
        <f>_xlfn.XLOOKUP($B64,'Average Salary'!$A:$A,'Average Salary'!E:E)</f>
        <v>809.48523000000012</v>
      </c>
    </row>
    <row r="65" spans="1:6" x14ac:dyDescent="0.35">
      <c r="A65" s="4" t="s">
        <v>31</v>
      </c>
      <c r="B65" s="4">
        <v>3</v>
      </c>
      <c r="C65" s="14">
        <f>_xlfn.XLOOKUP(B65,'Average Salary'!A:A,'Average Salary'!B:B)</f>
        <v>25070.000000000004</v>
      </c>
      <c r="D65" s="14">
        <f>_xlfn.XLOOKUP($B65,'Average Salary'!$A:$A,'Average Salary'!C:C)</f>
        <v>2530</v>
      </c>
      <c r="E65" s="14">
        <f>_xlfn.XLOOKUP($B65,'Average Salary'!$A:$A,'Average Salary'!D:D)</f>
        <v>200</v>
      </c>
      <c r="F65" s="14">
        <f>_xlfn.XLOOKUP($B65,'Average Salary'!$A:$A,'Average Salary'!E:E)</f>
        <v>626.75000000000011</v>
      </c>
    </row>
    <row r="66" spans="1:6" x14ac:dyDescent="0.35">
      <c r="A66" s="4" t="s">
        <v>31</v>
      </c>
      <c r="B66" s="4">
        <v>8</v>
      </c>
      <c r="C66" s="14">
        <f>_xlfn.XLOOKUP(B66,'Average Salary'!A:A,'Average Salary'!B:B)</f>
        <v>115927.90920000001</v>
      </c>
      <c r="D66" s="14">
        <f>_xlfn.XLOOKUP($B66,'Average Salary'!$A:$A,'Average Salary'!C:C)</f>
        <v>3530</v>
      </c>
      <c r="E66" s="14">
        <f>_xlfn.XLOOKUP($B66,'Average Salary'!$A:$A,'Average Salary'!D:D)</f>
        <v>200</v>
      </c>
      <c r="F66" s="14">
        <f>_xlfn.XLOOKUP($B66,'Average Salary'!$A:$A,'Average Salary'!E:E)</f>
        <v>2500</v>
      </c>
    </row>
    <row r="67" spans="1:6" x14ac:dyDescent="0.35">
      <c r="A67" s="4" t="s">
        <v>31</v>
      </c>
      <c r="B67" s="4">
        <v>3</v>
      </c>
      <c r="C67" s="14">
        <f>_xlfn.XLOOKUP(B67,'Average Salary'!A:A,'Average Salary'!B:B)</f>
        <v>25070.000000000004</v>
      </c>
      <c r="D67" s="14">
        <f>_xlfn.XLOOKUP($B67,'Average Salary'!$A:$A,'Average Salary'!C:C)</f>
        <v>2530</v>
      </c>
      <c r="E67" s="14">
        <f>_xlfn.XLOOKUP($B67,'Average Salary'!$A:$A,'Average Salary'!D:D)</f>
        <v>200</v>
      </c>
      <c r="F67" s="14">
        <f>_xlfn.XLOOKUP($B67,'Average Salary'!$A:$A,'Average Salary'!E:E)</f>
        <v>626.75000000000011</v>
      </c>
    </row>
    <row r="68" spans="1:6" x14ac:dyDescent="0.35">
      <c r="A68" s="4" t="s">
        <v>31</v>
      </c>
      <c r="B68" s="4">
        <v>5</v>
      </c>
      <c r="C68" s="14">
        <f>_xlfn.XLOOKUP(B68,'Average Salary'!A:A,'Average Salary'!B:B)</f>
        <v>42510</v>
      </c>
      <c r="D68" s="14">
        <f>_xlfn.XLOOKUP($B68,'Average Salary'!$A:$A,'Average Salary'!C:C)</f>
        <v>3530</v>
      </c>
      <c r="E68" s="14">
        <f>_xlfn.XLOOKUP($B68,'Average Salary'!$A:$A,'Average Salary'!D:D)</f>
        <v>200</v>
      </c>
      <c r="F68" s="14">
        <f>_xlfn.XLOOKUP($B68,'Average Salary'!$A:$A,'Average Salary'!E:E)</f>
        <v>1062.75</v>
      </c>
    </row>
    <row r="69" spans="1:6" x14ac:dyDescent="0.35">
      <c r="A69" s="4" t="s">
        <v>31</v>
      </c>
      <c r="B69" s="4">
        <v>5</v>
      </c>
      <c r="C69" s="14">
        <f>_xlfn.XLOOKUP(B69,'Average Salary'!A:A,'Average Salary'!B:B)</f>
        <v>42510</v>
      </c>
      <c r="D69" s="14">
        <f>_xlfn.XLOOKUP($B69,'Average Salary'!$A:$A,'Average Salary'!C:C)</f>
        <v>3530</v>
      </c>
      <c r="E69" s="14">
        <f>_xlfn.XLOOKUP($B69,'Average Salary'!$A:$A,'Average Salary'!D:D)</f>
        <v>200</v>
      </c>
      <c r="F69" s="14">
        <f>_xlfn.XLOOKUP($B69,'Average Salary'!$A:$A,'Average Salary'!E:E)</f>
        <v>1062.75</v>
      </c>
    </row>
    <row r="70" spans="1:6" x14ac:dyDescent="0.35">
      <c r="A70" s="4" t="s">
        <v>31</v>
      </c>
      <c r="B70" s="4">
        <v>3</v>
      </c>
      <c r="C70" s="14">
        <f>_xlfn.XLOOKUP(B70,'Average Salary'!A:A,'Average Salary'!B:B)</f>
        <v>25070.000000000004</v>
      </c>
      <c r="D70" s="14">
        <f>_xlfn.XLOOKUP($B70,'Average Salary'!$A:$A,'Average Salary'!C:C)</f>
        <v>2530</v>
      </c>
      <c r="E70" s="14">
        <f>_xlfn.XLOOKUP($B70,'Average Salary'!$A:$A,'Average Salary'!D:D)</f>
        <v>200</v>
      </c>
      <c r="F70" s="14">
        <f>_xlfn.XLOOKUP($B70,'Average Salary'!$A:$A,'Average Salary'!E:E)</f>
        <v>626.75000000000011</v>
      </c>
    </row>
    <row r="71" spans="1:6" x14ac:dyDescent="0.35">
      <c r="A71" s="4" t="s">
        <v>30</v>
      </c>
      <c r="B71" s="4">
        <v>3</v>
      </c>
      <c r="C71" s="14">
        <f>_xlfn.XLOOKUP(B71,'Average Salary'!A:A,'Average Salary'!B:B)</f>
        <v>25070.000000000004</v>
      </c>
      <c r="D71" s="14">
        <f>_xlfn.XLOOKUP($B71,'Average Salary'!$A:$A,'Average Salary'!C:C)</f>
        <v>2530</v>
      </c>
      <c r="E71" s="14">
        <f>_xlfn.XLOOKUP($B71,'Average Salary'!$A:$A,'Average Salary'!D:D)</f>
        <v>200</v>
      </c>
      <c r="F71" s="14">
        <f>_xlfn.XLOOKUP($B71,'Average Salary'!$A:$A,'Average Salary'!E:E)</f>
        <v>626.75000000000011</v>
      </c>
    </row>
    <row r="72" spans="1:6" x14ac:dyDescent="0.35">
      <c r="A72" s="4" t="s">
        <v>30</v>
      </c>
      <c r="B72" s="4">
        <v>6</v>
      </c>
      <c r="C72" s="14">
        <f>_xlfn.XLOOKUP(B72,'Average Salary'!A:A,'Average Salary'!B:B)</f>
        <v>62130.000000000007</v>
      </c>
      <c r="D72" s="14">
        <f>_xlfn.XLOOKUP($B72,'Average Salary'!$A:$A,'Average Salary'!C:C)</f>
        <v>3530</v>
      </c>
      <c r="E72" s="14">
        <f>_xlfn.XLOOKUP($B72,'Average Salary'!$A:$A,'Average Salary'!D:D)</f>
        <v>200</v>
      </c>
      <c r="F72" s="14">
        <f>_xlfn.XLOOKUP($B72,'Average Salary'!$A:$A,'Average Salary'!E:E)</f>
        <v>1553.2500000000002</v>
      </c>
    </row>
    <row r="73" spans="1:6" x14ac:dyDescent="0.35">
      <c r="A73" s="4" t="s">
        <v>30</v>
      </c>
      <c r="B73" s="4">
        <v>3</v>
      </c>
      <c r="C73" s="14">
        <f>_xlfn.XLOOKUP(B73,'Average Salary'!A:A,'Average Salary'!B:B)</f>
        <v>25070.000000000004</v>
      </c>
      <c r="D73" s="14">
        <f>_xlfn.XLOOKUP($B73,'Average Salary'!$A:$A,'Average Salary'!C:C)</f>
        <v>2530</v>
      </c>
      <c r="E73" s="14">
        <f>_xlfn.XLOOKUP($B73,'Average Salary'!$A:$A,'Average Salary'!D:D)</f>
        <v>200</v>
      </c>
      <c r="F73" s="14">
        <f>_xlfn.XLOOKUP($B73,'Average Salary'!$A:$A,'Average Salary'!E:E)</f>
        <v>626.75000000000011</v>
      </c>
    </row>
    <row r="74" spans="1:6" x14ac:dyDescent="0.35">
      <c r="A74" s="4" t="s">
        <v>30</v>
      </c>
      <c r="B74" s="4">
        <v>4</v>
      </c>
      <c r="C74" s="14">
        <f>_xlfn.XLOOKUP(B74,'Average Salary'!A:A,'Average Salary'!B:B)</f>
        <v>33790</v>
      </c>
      <c r="D74" s="14">
        <f>_xlfn.XLOOKUP($B74,'Average Salary'!$A:$A,'Average Salary'!C:C)</f>
        <v>3430</v>
      </c>
      <c r="E74" s="14">
        <f>_xlfn.XLOOKUP($B74,'Average Salary'!$A:$A,'Average Salary'!D:D)</f>
        <v>200</v>
      </c>
      <c r="F74" s="14">
        <f>_xlfn.XLOOKUP($B74,'Average Salary'!$A:$A,'Average Salary'!E:E)</f>
        <v>844.75</v>
      </c>
    </row>
    <row r="75" spans="1:6" x14ac:dyDescent="0.35">
      <c r="A75" s="4" t="s">
        <v>30</v>
      </c>
      <c r="B75" s="4">
        <v>3</v>
      </c>
      <c r="C75" s="14">
        <f>_xlfn.XLOOKUP(B75,'Average Salary'!A:A,'Average Salary'!B:B)</f>
        <v>25070.000000000004</v>
      </c>
      <c r="D75" s="14">
        <f>_xlfn.XLOOKUP($B75,'Average Salary'!$A:$A,'Average Salary'!C:C)</f>
        <v>2530</v>
      </c>
      <c r="E75" s="14">
        <f>_xlfn.XLOOKUP($B75,'Average Salary'!$A:$A,'Average Salary'!D:D)</f>
        <v>200</v>
      </c>
      <c r="F75" s="14">
        <f>_xlfn.XLOOKUP($B75,'Average Salary'!$A:$A,'Average Salary'!E:E)</f>
        <v>626.75000000000011</v>
      </c>
    </row>
    <row r="76" spans="1:6" x14ac:dyDescent="0.35">
      <c r="A76" s="4" t="s">
        <v>30</v>
      </c>
      <c r="B76" s="4">
        <v>7</v>
      </c>
      <c r="C76" s="14">
        <f>_xlfn.XLOOKUP(B76,'Average Salary'!A:A,'Average Salary'!B:B)</f>
        <v>78480</v>
      </c>
      <c r="D76" s="14">
        <f>_xlfn.XLOOKUP($B76,'Average Salary'!$A:$A,'Average Salary'!C:C)</f>
        <v>3530</v>
      </c>
      <c r="E76" s="14">
        <f>_xlfn.XLOOKUP($B76,'Average Salary'!$A:$A,'Average Salary'!D:D)</f>
        <v>200</v>
      </c>
      <c r="F76" s="14">
        <f>_xlfn.XLOOKUP($B76,'Average Salary'!$A:$A,'Average Salary'!E:E)</f>
        <v>1962</v>
      </c>
    </row>
    <row r="77" spans="1:6" x14ac:dyDescent="0.35">
      <c r="A77" s="4" t="s">
        <v>30</v>
      </c>
      <c r="B77" s="4">
        <v>5</v>
      </c>
      <c r="C77" s="14">
        <f>_xlfn.XLOOKUP(B77,'Average Salary'!A:A,'Average Salary'!B:B)</f>
        <v>42510</v>
      </c>
      <c r="D77" s="14">
        <f>_xlfn.XLOOKUP($B77,'Average Salary'!$A:$A,'Average Salary'!C:C)</f>
        <v>3530</v>
      </c>
      <c r="E77" s="14">
        <f>_xlfn.XLOOKUP($B77,'Average Salary'!$A:$A,'Average Salary'!D:D)</f>
        <v>200</v>
      </c>
      <c r="F77" s="14">
        <f>_xlfn.XLOOKUP($B77,'Average Salary'!$A:$A,'Average Salary'!E:E)</f>
        <v>1062.75</v>
      </c>
    </row>
    <row r="78" spans="1:6" x14ac:dyDescent="0.35">
      <c r="A78" s="4" t="s">
        <v>30</v>
      </c>
      <c r="B78" s="4">
        <v>4</v>
      </c>
      <c r="C78" s="14">
        <f>_xlfn.XLOOKUP(B78,'Average Salary'!A:A,'Average Salary'!B:B)</f>
        <v>33790</v>
      </c>
      <c r="D78" s="14">
        <f>_xlfn.XLOOKUP($B78,'Average Salary'!$A:$A,'Average Salary'!C:C)</f>
        <v>3430</v>
      </c>
      <c r="E78" s="14">
        <f>_xlfn.XLOOKUP($B78,'Average Salary'!$A:$A,'Average Salary'!D:D)</f>
        <v>200</v>
      </c>
      <c r="F78" s="14">
        <f>_xlfn.XLOOKUP($B78,'Average Salary'!$A:$A,'Average Salary'!E:E)</f>
        <v>844.75</v>
      </c>
    </row>
    <row r="79" spans="1:6" x14ac:dyDescent="0.35">
      <c r="A79" s="4" t="s">
        <v>30</v>
      </c>
      <c r="B79" s="4">
        <v>7</v>
      </c>
      <c r="C79" s="14">
        <f>_xlfn.XLOOKUP(B79,'Average Salary'!A:A,'Average Salary'!B:B)</f>
        <v>78480</v>
      </c>
      <c r="D79" s="14">
        <f>_xlfn.XLOOKUP($B79,'Average Salary'!$A:$A,'Average Salary'!C:C)</f>
        <v>3530</v>
      </c>
      <c r="E79" s="14">
        <f>_xlfn.XLOOKUP($B79,'Average Salary'!$A:$A,'Average Salary'!D:D)</f>
        <v>200</v>
      </c>
      <c r="F79" s="14">
        <f>_xlfn.XLOOKUP($B79,'Average Salary'!$A:$A,'Average Salary'!E:E)</f>
        <v>1962</v>
      </c>
    </row>
    <row r="80" spans="1:6" x14ac:dyDescent="0.35">
      <c r="A80" s="4" t="s">
        <v>30</v>
      </c>
      <c r="B80" s="4">
        <v>4</v>
      </c>
      <c r="C80" s="14">
        <f>_xlfn.XLOOKUP(B80,'Average Salary'!A:A,'Average Salary'!B:B)</f>
        <v>33790</v>
      </c>
      <c r="D80" s="14">
        <f>_xlfn.XLOOKUP($B80,'Average Salary'!$A:$A,'Average Salary'!C:C)</f>
        <v>3430</v>
      </c>
      <c r="E80" s="14">
        <f>_xlfn.XLOOKUP($B80,'Average Salary'!$A:$A,'Average Salary'!D:D)</f>
        <v>200</v>
      </c>
      <c r="F80" s="14">
        <f>_xlfn.XLOOKUP($B80,'Average Salary'!$A:$A,'Average Salary'!E:E)</f>
        <v>844.75</v>
      </c>
    </row>
    <row r="81" spans="1:6" x14ac:dyDescent="0.35">
      <c r="A81" s="4" t="s">
        <v>30</v>
      </c>
      <c r="B81" s="4">
        <v>3</v>
      </c>
      <c r="C81" s="14">
        <f>_xlfn.XLOOKUP(B81,'Average Salary'!A:A,'Average Salary'!B:B)</f>
        <v>25070.000000000004</v>
      </c>
      <c r="D81" s="14">
        <f>_xlfn.XLOOKUP($B81,'Average Salary'!$A:$A,'Average Salary'!C:C)</f>
        <v>2530</v>
      </c>
      <c r="E81" s="14">
        <f>_xlfn.XLOOKUP($B81,'Average Salary'!$A:$A,'Average Salary'!D:D)</f>
        <v>200</v>
      </c>
      <c r="F81" s="14">
        <f>_xlfn.XLOOKUP($B81,'Average Salary'!$A:$A,'Average Salary'!E:E)</f>
        <v>626.75000000000011</v>
      </c>
    </row>
    <row r="82" spans="1:6" x14ac:dyDescent="0.35">
      <c r="A82" s="4" t="s">
        <v>30</v>
      </c>
      <c r="B82" s="4">
        <v>8</v>
      </c>
      <c r="C82" s="14">
        <f>_xlfn.XLOOKUP(B82,'Average Salary'!A:A,'Average Salary'!B:B)</f>
        <v>115927.90920000001</v>
      </c>
      <c r="D82" s="14">
        <f>_xlfn.XLOOKUP($B82,'Average Salary'!$A:$A,'Average Salary'!C:C)</f>
        <v>3530</v>
      </c>
      <c r="E82" s="14">
        <f>_xlfn.XLOOKUP($B82,'Average Salary'!$A:$A,'Average Salary'!D:D)</f>
        <v>200</v>
      </c>
      <c r="F82" s="14">
        <f>_xlfn.XLOOKUP($B82,'Average Salary'!$A:$A,'Average Salary'!E:E)</f>
        <v>2500</v>
      </c>
    </row>
    <row r="83" spans="1:6" x14ac:dyDescent="0.35">
      <c r="A83" s="4" t="s">
        <v>30</v>
      </c>
      <c r="B83" s="4">
        <v>3</v>
      </c>
      <c r="C83" s="14">
        <f>_xlfn.XLOOKUP(B83,'Average Salary'!A:A,'Average Salary'!B:B)</f>
        <v>25070.000000000004</v>
      </c>
      <c r="D83" s="14">
        <f>_xlfn.XLOOKUP($B83,'Average Salary'!$A:$A,'Average Salary'!C:C)</f>
        <v>2530</v>
      </c>
      <c r="E83" s="14">
        <f>_xlfn.XLOOKUP($B83,'Average Salary'!$A:$A,'Average Salary'!D:D)</f>
        <v>200</v>
      </c>
      <c r="F83" s="14">
        <f>_xlfn.XLOOKUP($B83,'Average Salary'!$A:$A,'Average Salary'!E:E)</f>
        <v>626.75000000000011</v>
      </c>
    </row>
    <row r="84" spans="1:6" x14ac:dyDescent="0.35">
      <c r="A84" s="4" t="s">
        <v>30</v>
      </c>
      <c r="B84" s="4">
        <v>3</v>
      </c>
      <c r="C84" s="14">
        <f>_xlfn.XLOOKUP(B84,'Average Salary'!A:A,'Average Salary'!B:B)</f>
        <v>25070.000000000004</v>
      </c>
      <c r="D84" s="14">
        <f>_xlfn.XLOOKUP($B84,'Average Salary'!$A:$A,'Average Salary'!C:C)</f>
        <v>2530</v>
      </c>
      <c r="E84" s="14">
        <f>_xlfn.XLOOKUP($B84,'Average Salary'!$A:$A,'Average Salary'!D:D)</f>
        <v>200</v>
      </c>
      <c r="F84" s="14">
        <f>_xlfn.XLOOKUP($B84,'Average Salary'!$A:$A,'Average Salary'!E:E)</f>
        <v>626.75000000000011</v>
      </c>
    </row>
    <row r="85" spans="1:6" x14ac:dyDescent="0.35">
      <c r="A85" s="4" t="s">
        <v>30</v>
      </c>
      <c r="B85" s="4">
        <v>4</v>
      </c>
      <c r="C85" s="14">
        <f>_xlfn.XLOOKUP(B85,'Average Salary'!A:A,'Average Salary'!B:B)</f>
        <v>33790</v>
      </c>
      <c r="D85" s="14">
        <f>_xlfn.XLOOKUP($B85,'Average Salary'!$A:$A,'Average Salary'!C:C)</f>
        <v>3430</v>
      </c>
      <c r="E85" s="14">
        <f>_xlfn.XLOOKUP($B85,'Average Salary'!$A:$A,'Average Salary'!D:D)</f>
        <v>200</v>
      </c>
      <c r="F85" s="14">
        <f>_xlfn.XLOOKUP($B85,'Average Salary'!$A:$A,'Average Salary'!E:E)</f>
        <v>844.75</v>
      </c>
    </row>
    <row r="86" spans="1:6" x14ac:dyDescent="0.35">
      <c r="A86" s="4" t="s">
        <v>30</v>
      </c>
      <c r="B86" s="4">
        <v>6</v>
      </c>
      <c r="C86" s="14">
        <f>_xlfn.XLOOKUP(B86,'Average Salary'!A:A,'Average Salary'!B:B)</f>
        <v>62130.000000000007</v>
      </c>
      <c r="D86" s="14">
        <f>_xlfn.XLOOKUP($B86,'Average Salary'!$A:$A,'Average Salary'!C:C)</f>
        <v>3530</v>
      </c>
      <c r="E86" s="14">
        <f>_xlfn.XLOOKUP($B86,'Average Salary'!$A:$A,'Average Salary'!D:D)</f>
        <v>200</v>
      </c>
      <c r="F86" s="14">
        <f>_xlfn.XLOOKUP($B86,'Average Salary'!$A:$A,'Average Salary'!E:E)</f>
        <v>1553.2500000000002</v>
      </c>
    </row>
    <row r="87" spans="1:6" x14ac:dyDescent="0.35">
      <c r="A87" s="4" t="s">
        <v>30</v>
      </c>
      <c r="B87" s="4">
        <v>4</v>
      </c>
      <c r="C87" s="14">
        <f>_xlfn.XLOOKUP(B87,'Average Salary'!A:A,'Average Salary'!B:B)</f>
        <v>33790</v>
      </c>
      <c r="D87" s="14">
        <f>_xlfn.XLOOKUP($B87,'Average Salary'!$A:$A,'Average Salary'!C:C)</f>
        <v>3430</v>
      </c>
      <c r="E87" s="14">
        <f>_xlfn.XLOOKUP($B87,'Average Salary'!$A:$A,'Average Salary'!D:D)</f>
        <v>200</v>
      </c>
      <c r="F87" s="14">
        <f>_xlfn.XLOOKUP($B87,'Average Salary'!$A:$A,'Average Salary'!E:E)</f>
        <v>844.75</v>
      </c>
    </row>
    <row r="88" spans="1:6" x14ac:dyDescent="0.35">
      <c r="A88" s="4" t="s">
        <v>30</v>
      </c>
      <c r="B88" s="4">
        <v>7</v>
      </c>
      <c r="C88" s="14">
        <f>_xlfn.XLOOKUP(B88,'Average Salary'!A:A,'Average Salary'!B:B)</f>
        <v>78480</v>
      </c>
      <c r="D88" s="14">
        <f>_xlfn.XLOOKUP($B88,'Average Salary'!$A:$A,'Average Salary'!C:C)</f>
        <v>3530</v>
      </c>
      <c r="E88" s="14">
        <f>_xlfn.XLOOKUP($B88,'Average Salary'!$A:$A,'Average Salary'!D:D)</f>
        <v>200</v>
      </c>
      <c r="F88" s="14">
        <f>_xlfn.XLOOKUP($B88,'Average Salary'!$A:$A,'Average Salary'!E:E)</f>
        <v>1962</v>
      </c>
    </row>
    <row r="89" spans="1:6" x14ac:dyDescent="0.35">
      <c r="A89" s="4" t="s">
        <v>30</v>
      </c>
      <c r="B89" s="4">
        <v>3</v>
      </c>
      <c r="C89" s="14">
        <f>_xlfn.XLOOKUP(B89,'Average Salary'!A:A,'Average Salary'!B:B)</f>
        <v>25070.000000000004</v>
      </c>
      <c r="D89" s="14">
        <f>_xlfn.XLOOKUP($B89,'Average Salary'!$A:$A,'Average Salary'!C:C)</f>
        <v>2530</v>
      </c>
      <c r="E89" s="14">
        <f>_xlfn.XLOOKUP($B89,'Average Salary'!$A:$A,'Average Salary'!D:D)</f>
        <v>200</v>
      </c>
      <c r="F89" s="14">
        <f>_xlfn.XLOOKUP($B89,'Average Salary'!$A:$A,'Average Salary'!E:E)</f>
        <v>626.75000000000011</v>
      </c>
    </row>
    <row r="90" spans="1:6" x14ac:dyDescent="0.35">
      <c r="A90" s="4" t="s">
        <v>30</v>
      </c>
      <c r="B90" s="4">
        <v>4</v>
      </c>
      <c r="C90" s="14">
        <f>_xlfn.XLOOKUP(B90,'Average Salary'!A:A,'Average Salary'!B:B)</f>
        <v>33790</v>
      </c>
      <c r="D90" s="14">
        <f>_xlfn.XLOOKUP($B90,'Average Salary'!$A:$A,'Average Salary'!C:C)</f>
        <v>3430</v>
      </c>
      <c r="E90" s="14">
        <f>_xlfn.XLOOKUP($B90,'Average Salary'!$A:$A,'Average Salary'!D:D)</f>
        <v>200</v>
      </c>
      <c r="F90" s="14">
        <f>_xlfn.XLOOKUP($B90,'Average Salary'!$A:$A,'Average Salary'!E:E)</f>
        <v>844.75</v>
      </c>
    </row>
    <row r="91" spans="1:6" x14ac:dyDescent="0.35">
      <c r="A91" s="4" t="s">
        <v>30</v>
      </c>
      <c r="B91" s="4">
        <v>4</v>
      </c>
      <c r="C91" s="14">
        <f>_xlfn.XLOOKUP(B91,'Average Salary'!A:A,'Average Salary'!B:B)</f>
        <v>33790</v>
      </c>
      <c r="D91" s="14">
        <f>_xlfn.XLOOKUP($B91,'Average Salary'!$A:$A,'Average Salary'!C:C)</f>
        <v>3430</v>
      </c>
      <c r="E91" s="14">
        <f>_xlfn.XLOOKUP($B91,'Average Salary'!$A:$A,'Average Salary'!D:D)</f>
        <v>200</v>
      </c>
      <c r="F91" s="14">
        <f>_xlfn.XLOOKUP($B91,'Average Salary'!$A:$A,'Average Salary'!E:E)</f>
        <v>844.75</v>
      </c>
    </row>
    <row r="92" spans="1:6" x14ac:dyDescent="0.35">
      <c r="A92" s="4" t="s">
        <v>30</v>
      </c>
      <c r="B92" s="4">
        <v>4</v>
      </c>
      <c r="C92" s="14">
        <f>_xlfn.XLOOKUP(B92,'Average Salary'!A:A,'Average Salary'!B:B)</f>
        <v>33790</v>
      </c>
      <c r="D92" s="14">
        <f>_xlfn.XLOOKUP($B92,'Average Salary'!$A:$A,'Average Salary'!C:C)</f>
        <v>3430</v>
      </c>
      <c r="E92" s="14">
        <f>_xlfn.XLOOKUP($B92,'Average Salary'!$A:$A,'Average Salary'!D:D)</f>
        <v>200</v>
      </c>
      <c r="F92" s="14">
        <f>_xlfn.XLOOKUP($B92,'Average Salary'!$A:$A,'Average Salary'!E:E)</f>
        <v>844.75</v>
      </c>
    </row>
    <row r="93" spans="1:6" x14ac:dyDescent="0.35">
      <c r="A93" s="4" t="s">
        <v>30</v>
      </c>
      <c r="B93" s="4">
        <v>3</v>
      </c>
      <c r="C93" s="14">
        <f>_xlfn.XLOOKUP(B93,'Average Salary'!A:A,'Average Salary'!B:B)</f>
        <v>25070.000000000004</v>
      </c>
      <c r="D93" s="14">
        <f>_xlfn.XLOOKUP($B93,'Average Salary'!$A:$A,'Average Salary'!C:C)</f>
        <v>2530</v>
      </c>
      <c r="E93" s="14">
        <f>_xlfn.XLOOKUP($B93,'Average Salary'!$A:$A,'Average Salary'!D:D)</f>
        <v>200</v>
      </c>
      <c r="F93" s="14">
        <f>_xlfn.XLOOKUP($B93,'Average Salary'!$A:$A,'Average Salary'!E:E)</f>
        <v>626.75000000000011</v>
      </c>
    </row>
    <row r="94" spans="1:6" x14ac:dyDescent="0.35">
      <c r="A94" s="4" t="s">
        <v>30</v>
      </c>
      <c r="B94" s="4">
        <v>3</v>
      </c>
      <c r="C94" s="14">
        <f>_xlfn.XLOOKUP(B94,'Average Salary'!A:A,'Average Salary'!B:B)</f>
        <v>25070.000000000004</v>
      </c>
      <c r="D94" s="14">
        <f>_xlfn.XLOOKUP($B94,'Average Salary'!$A:$A,'Average Salary'!C:C)</f>
        <v>2530</v>
      </c>
      <c r="E94" s="14">
        <f>_xlfn.XLOOKUP($B94,'Average Salary'!$A:$A,'Average Salary'!D:D)</f>
        <v>200</v>
      </c>
      <c r="F94" s="14">
        <f>_xlfn.XLOOKUP($B94,'Average Salary'!$A:$A,'Average Salary'!E:E)</f>
        <v>626.75000000000011</v>
      </c>
    </row>
    <row r="95" spans="1:6" x14ac:dyDescent="0.35">
      <c r="A95" s="4" t="s">
        <v>30</v>
      </c>
      <c r="B95" s="4">
        <v>5</v>
      </c>
      <c r="C95" s="14">
        <f>_xlfn.XLOOKUP(B95,'Average Salary'!A:A,'Average Salary'!B:B)</f>
        <v>42510</v>
      </c>
      <c r="D95" s="14">
        <f>_xlfn.XLOOKUP($B95,'Average Salary'!$A:$A,'Average Salary'!C:C)</f>
        <v>3530</v>
      </c>
      <c r="E95" s="14">
        <f>_xlfn.XLOOKUP($B95,'Average Salary'!$A:$A,'Average Salary'!D:D)</f>
        <v>200</v>
      </c>
      <c r="F95" s="14">
        <f>_xlfn.XLOOKUP($B95,'Average Salary'!$A:$A,'Average Salary'!E:E)</f>
        <v>1062.75</v>
      </c>
    </row>
    <row r="96" spans="1:6" x14ac:dyDescent="0.35">
      <c r="A96" s="4" t="s">
        <v>30</v>
      </c>
      <c r="B96" s="4">
        <v>5</v>
      </c>
      <c r="C96" s="14">
        <f>_xlfn.XLOOKUP(B96,'Average Salary'!A:A,'Average Salary'!B:B)</f>
        <v>42510</v>
      </c>
      <c r="D96" s="14">
        <f>_xlfn.XLOOKUP($B96,'Average Salary'!$A:$A,'Average Salary'!C:C)</f>
        <v>3530</v>
      </c>
      <c r="E96" s="14">
        <f>_xlfn.XLOOKUP($B96,'Average Salary'!$A:$A,'Average Salary'!D:D)</f>
        <v>200</v>
      </c>
      <c r="F96" s="14">
        <f>_xlfn.XLOOKUP($B96,'Average Salary'!$A:$A,'Average Salary'!E:E)</f>
        <v>1062.75</v>
      </c>
    </row>
    <row r="97" spans="1:6" x14ac:dyDescent="0.35">
      <c r="A97" s="4" t="s">
        <v>30</v>
      </c>
      <c r="B97" s="4">
        <v>5</v>
      </c>
      <c r="C97" s="14">
        <f>_xlfn.XLOOKUP(B97,'Average Salary'!A:A,'Average Salary'!B:B)</f>
        <v>42510</v>
      </c>
      <c r="D97" s="14">
        <f>_xlfn.XLOOKUP($B97,'Average Salary'!$A:$A,'Average Salary'!C:C)</f>
        <v>3530</v>
      </c>
      <c r="E97" s="14">
        <f>_xlfn.XLOOKUP($B97,'Average Salary'!$A:$A,'Average Salary'!D:D)</f>
        <v>200</v>
      </c>
      <c r="F97" s="14">
        <f>_xlfn.XLOOKUP($B97,'Average Salary'!$A:$A,'Average Salary'!E:E)</f>
        <v>1062.75</v>
      </c>
    </row>
    <row r="98" spans="1:6" x14ac:dyDescent="0.35">
      <c r="A98" s="4" t="s">
        <v>30</v>
      </c>
      <c r="B98" s="4">
        <v>4</v>
      </c>
      <c r="C98" s="14">
        <f>_xlfn.XLOOKUP(B98,'Average Salary'!A:A,'Average Salary'!B:B)</f>
        <v>33790</v>
      </c>
      <c r="D98" s="14">
        <f>_xlfn.XLOOKUP($B98,'Average Salary'!$A:$A,'Average Salary'!C:C)</f>
        <v>3430</v>
      </c>
      <c r="E98" s="14">
        <f>_xlfn.XLOOKUP($B98,'Average Salary'!$A:$A,'Average Salary'!D:D)</f>
        <v>200</v>
      </c>
      <c r="F98" s="14">
        <f>_xlfn.XLOOKUP($B98,'Average Salary'!$A:$A,'Average Salary'!E:E)</f>
        <v>844.75</v>
      </c>
    </row>
    <row r="99" spans="1:6" x14ac:dyDescent="0.35">
      <c r="A99" s="4" t="s">
        <v>30</v>
      </c>
      <c r="B99" s="4">
        <v>5</v>
      </c>
      <c r="C99" s="14">
        <f>_xlfn.XLOOKUP(B99,'Average Salary'!A:A,'Average Salary'!B:B)</f>
        <v>42510</v>
      </c>
      <c r="D99" s="14">
        <f>_xlfn.XLOOKUP($B99,'Average Salary'!$A:$A,'Average Salary'!C:C)</f>
        <v>3530</v>
      </c>
      <c r="E99" s="14">
        <f>_xlfn.XLOOKUP($B99,'Average Salary'!$A:$A,'Average Salary'!D:D)</f>
        <v>200</v>
      </c>
      <c r="F99" s="14">
        <f>_xlfn.XLOOKUP($B99,'Average Salary'!$A:$A,'Average Salary'!E:E)</f>
        <v>1062.75</v>
      </c>
    </row>
    <row r="100" spans="1:6" x14ac:dyDescent="0.35">
      <c r="A100" s="4" t="s">
        <v>30</v>
      </c>
      <c r="B100" s="4">
        <v>9</v>
      </c>
      <c r="C100" s="14">
        <f>_xlfn.XLOOKUP(B100,'Average Salary'!A:A,'Average Salary'!B:B)</f>
        <v>201377.50000000003</v>
      </c>
      <c r="D100" s="14">
        <f>_xlfn.XLOOKUP($B100,'Average Salary'!$A:$A,'Average Salary'!C:C)</f>
        <v>3530</v>
      </c>
      <c r="E100" s="14">
        <f>_xlfn.XLOOKUP($B100,'Average Salary'!$A:$A,'Average Salary'!D:D)</f>
        <v>200</v>
      </c>
      <c r="F100" s="14">
        <f>_xlfn.XLOOKUP($B100,'Average Salary'!$A:$A,'Average Salary'!E:E)</f>
        <v>2500</v>
      </c>
    </row>
    <row r="101" spans="1:6" x14ac:dyDescent="0.35">
      <c r="A101" s="4" t="s">
        <v>30</v>
      </c>
      <c r="B101" s="4">
        <v>3</v>
      </c>
      <c r="C101" s="14">
        <f>_xlfn.XLOOKUP(B101,'Average Salary'!A:A,'Average Salary'!B:B)</f>
        <v>25070.000000000004</v>
      </c>
      <c r="D101" s="14">
        <f>_xlfn.XLOOKUP($B101,'Average Salary'!$A:$A,'Average Salary'!C:C)</f>
        <v>2530</v>
      </c>
      <c r="E101" s="14">
        <f>_xlfn.XLOOKUP($B101,'Average Salary'!$A:$A,'Average Salary'!D:D)</f>
        <v>200</v>
      </c>
      <c r="F101" s="14">
        <f>_xlfn.XLOOKUP($B101,'Average Salary'!$A:$A,'Average Salary'!E:E)</f>
        <v>626.75000000000011</v>
      </c>
    </row>
    <row r="102" spans="1:6" x14ac:dyDescent="0.35">
      <c r="A102" s="4" t="s">
        <v>30</v>
      </c>
      <c r="B102" s="4">
        <v>8</v>
      </c>
      <c r="C102" s="14">
        <f>_xlfn.XLOOKUP(B102,'Average Salary'!A:A,'Average Salary'!B:B)</f>
        <v>115927.90920000001</v>
      </c>
      <c r="D102" s="14">
        <f>_xlfn.XLOOKUP($B102,'Average Salary'!$A:$A,'Average Salary'!C:C)</f>
        <v>3530</v>
      </c>
      <c r="E102" s="14">
        <f>_xlfn.XLOOKUP($B102,'Average Salary'!$A:$A,'Average Salary'!D:D)</f>
        <v>200</v>
      </c>
      <c r="F102" s="14">
        <f>_xlfn.XLOOKUP($B102,'Average Salary'!$A:$A,'Average Salary'!E:E)</f>
        <v>2500</v>
      </c>
    </row>
    <row r="103" spans="1:6" x14ac:dyDescent="0.35">
      <c r="A103" s="4" t="s">
        <v>30</v>
      </c>
      <c r="B103" s="4">
        <v>5</v>
      </c>
      <c r="C103" s="14">
        <f>_xlfn.XLOOKUP(B103,'Average Salary'!A:A,'Average Salary'!B:B)</f>
        <v>42510</v>
      </c>
      <c r="D103" s="14">
        <f>_xlfn.XLOOKUP($B103,'Average Salary'!$A:$A,'Average Salary'!C:C)</f>
        <v>3530</v>
      </c>
      <c r="E103" s="14">
        <f>_xlfn.XLOOKUP($B103,'Average Salary'!$A:$A,'Average Salary'!D:D)</f>
        <v>200</v>
      </c>
      <c r="F103" s="14">
        <f>_xlfn.XLOOKUP($B103,'Average Salary'!$A:$A,'Average Salary'!E:E)</f>
        <v>1062.75</v>
      </c>
    </row>
    <row r="104" spans="1:6" x14ac:dyDescent="0.35">
      <c r="A104" s="4" t="s">
        <v>30</v>
      </c>
      <c r="B104" s="4">
        <v>5</v>
      </c>
      <c r="C104" s="14">
        <f>_xlfn.XLOOKUP(B104,'Average Salary'!A:A,'Average Salary'!B:B)</f>
        <v>42510</v>
      </c>
      <c r="D104" s="14">
        <f>_xlfn.XLOOKUP($B104,'Average Salary'!$A:$A,'Average Salary'!C:C)</f>
        <v>3530</v>
      </c>
      <c r="E104" s="14">
        <f>_xlfn.XLOOKUP($B104,'Average Salary'!$A:$A,'Average Salary'!D:D)</f>
        <v>200</v>
      </c>
      <c r="F104" s="14">
        <f>_xlfn.XLOOKUP($B104,'Average Salary'!$A:$A,'Average Salary'!E:E)</f>
        <v>1062.75</v>
      </c>
    </row>
    <row r="105" spans="1:6" x14ac:dyDescent="0.35">
      <c r="A105" s="4" t="s">
        <v>30</v>
      </c>
      <c r="B105" s="4">
        <v>4</v>
      </c>
      <c r="C105" s="14">
        <f>_xlfn.XLOOKUP(B105,'Average Salary'!A:A,'Average Salary'!B:B)</f>
        <v>33790</v>
      </c>
      <c r="D105" s="14">
        <f>_xlfn.XLOOKUP($B105,'Average Salary'!$A:$A,'Average Salary'!C:C)</f>
        <v>3430</v>
      </c>
      <c r="E105" s="14">
        <f>_xlfn.XLOOKUP($B105,'Average Salary'!$A:$A,'Average Salary'!D:D)</f>
        <v>200</v>
      </c>
      <c r="F105" s="14">
        <f>_xlfn.XLOOKUP($B105,'Average Salary'!$A:$A,'Average Salary'!E:E)</f>
        <v>844.75</v>
      </c>
    </row>
    <row r="106" spans="1:6" x14ac:dyDescent="0.35">
      <c r="A106" s="4" t="s">
        <v>30</v>
      </c>
      <c r="B106" s="4">
        <v>4</v>
      </c>
      <c r="C106" s="14">
        <f>_xlfn.XLOOKUP(B106,'Average Salary'!A:A,'Average Salary'!B:B)</f>
        <v>33790</v>
      </c>
      <c r="D106" s="14">
        <f>_xlfn.XLOOKUP($B106,'Average Salary'!$A:$A,'Average Salary'!C:C)</f>
        <v>3430</v>
      </c>
      <c r="E106" s="14">
        <f>_xlfn.XLOOKUP($B106,'Average Salary'!$A:$A,'Average Salary'!D:D)</f>
        <v>200</v>
      </c>
      <c r="F106" s="14">
        <f>_xlfn.XLOOKUP($B106,'Average Salary'!$A:$A,'Average Salary'!E:E)</f>
        <v>844.75</v>
      </c>
    </row>
    <row r="107" spans="1:6" x14ac:dyDescent="0.35">
      <c r="A107" s="4" t="s">
        <v>30</v>
      </c>
      <c r="B107" s="4">
        <v>6</v>
      </c>
      <c r="C107" s="14">
        <f>_xlfn.XLOOKUP(B107,'Average Salary'!A:A,'Average Salary'!B:B)</f>
        <v>62130.000000000007</v>
      </c>
      <c r="D107" s="14">
        <f>_xlfn.XLOOKUP($B107,'Average Salary'!$A:$A,'Average Salary'!C:C)</f>
        <v>3530</v>
      </c>
      <c r="E107" s="14">
        <f>_xlfn.XLOOKUP($B107,'Average Salary'!$A:$A,'Average Salary'!D:D)</f>
        <v>200</v>
      </c>
      <c r="F107" s="14">
        <f>_xlfn.XLOOKUP($B107,'Average Salary'!$A:$A,'Average Salary'!E:E)</f>
        <v>1553.2500000000002</v>
      </c>
    </row>
    <row r="108" spans="1:6" x14ac:dyDescent="0.35">
      <c r="A108" s="4" t="s">
        <v>30</v>
      </c>
      <c r="B108" s="4">
        <v>3</v>
      </c>
      <c r="C108" s="14">
        <f>_xlfn.XLOOKUP(B108,'Average Salary'!A:A,'Average Salary'!B:B)</f>
        <v>25070.000000000004</v>
      </c>
      <c r="D108" s="14">
        <f>_xlfn.XLOOKUP($B108,'Average Salary'!$A:$A,'Average Salary'!C:C)</f>
        <v>2530</v>
      </c>
      <c r="E108" s="14">
        <f>_xlfn.XLOOKUP($B108,'Average Salary'!$A:$A,'Average Salary'!D:D)</f>
        <v>200</v>
      </c>
      <c r="F108" s="14">
        <f>_xlfn.XLOOKUP($B108,'Average Salary'!$A:$A,'Average Salary'!E:E)</f>
        <v>626.75000000000011</v>
      </c>
    </row>
    <row r="109" spans="1:6" x14ac:dyDescent="0.35">
      <c r="A109" s="4" t="s">
        <v>30</v>
      </c>
      <c r="B109" s="4">
        <v>5</v>
      </c>
      <c r="C109" s="14">
        <f>_xlfn.XLOOKUP(B109,'Average Salary'!A:A,'Average Salary'!B:B)</f>
        <v>42510</v>
      </c>
      <c r="D109" s="14">
        <f>_xlfn.XLOOKUP($B109,'Average Salary'!$A:$A,'Average Salary'!C:C)</f>
        <v>3530</v>
      </c>
      <c r="E109" s="14">
        <f>_xlfn.XLOOKUP($B109,'Average Salary'!$A:$A,'Average Salary'!D:D)</f>
        <v>200</v>
      </c>
      <c r="F109" s="14">
        <f>_xlfn.XLOOKUP($B109,'Average Salary'!$A:$A,'Average Salary'!E:E)</f>
        <v>1062.75</v>
      </c>
    </row>
    <row r="110" spans="1:6" x14ac:dyDescent="0.35">
      <c r="A110" s="4" t="s">
        <v>30</v>
      </c>
      <c r="B110" s="4">
        <v>7</v>
      </c>
      <c r="C110" s="14">
        <f>_xlfn.XLOOKUP(B110,'Average Salary'!A:A,'Average Salary'!B:B)</f>
        <v>78480</v>
      </c>
      <c r="D110" s="14">
        <f>_xlfn.XLOOKUP($B110,'Average Salary'!$A:$A,'Average Salary'!C:C)</f>
        <v>3530</v>
      </c>
      <c r="E110" s="14">
        <f>_xlfn.XLOOKUP($B110,'Average Salary'!$A:$A,'Average Salary'!D:D)</f>
        <v>200</v>
      </c>
      <c r="F110" s="14">
        <f>_xlfn.XLOOKUP($B110,'Average Salary'!$A:$A,'Average Salary'!E:E)</f>
        <v>1962</v>
      </c>
    </row>
    <row r="111" spans="1:6" x14ac:dyDescent="0.35">
      <c r="A111" s="4" t="s">
        <v>30</v>
      </c>
      <c r="B111" s="4">
        <v>3</v>
      </c>
      <c r="C111" s="14">
        <f>_xlfn.XLOOKUP(B111,'Average Salary'!A:A,'Average Salary'!B:B)</f>
        <v>25070.000000000004</v>
      </c>
      <c r="D111" s="14">
        <f>_xlfn.XLOOKUP($B111,'Average Salary'!$A:$A,'Average Salary'!C:C)</f>
        <v>2530</v>
      </c>
      <c r="E111" s="14">
        <f>_xlfn.XLOOKUP($B111,'Average Salary'!$A:$A,'Average Salary'!D:D)</f>
        <v>200</v>
      </c>
      <c r="F111" s="14">
        <f>_xlfn.XLOOKUP($B111,'Average Salary'!$A:$A,'Average Salary'!E:E)</f>
        <v>626.75000000000011</v>
      </c>
    </row>
    <row r="112" spans="1:6" x14ac:dyDescent="0.35">
      <c r="A112" s="4" t="s">
        <v>30</v>
      </c>
      <c r="B112" s="4">
        <v>5</v>
      </c>
      <c r="C112" s="14">
        <f>_xlfn.XLOOKUP(B112,'Average Salary'!A:A,'Average Salary'!B:B)</f>
        <v>42510</v>
      </c>
      <c r="D112" s="14">
        <f>_xlfn.XLOOKUP($B112,'Average Salary'!$A:$A,'Average Salary'!C:C)</f>
        <v>3530</v>
      </c>
      <c r="E112" s="14">
        <f>_xlfn.XLOOKUP($B112,'Average Salary'!$A:$A,'Average Salary'!D:D)</f>
        <v>200</v>
      </c>
      <c r="F112" s="14">
        <f>_xlfn.XLOOKUP($B112,'Average Salary'!$A:$A,'Average Salary'!E:E)</f>
        <v>1062.75</v>
      </c>
    </row>
    <row r="113" spans="1:6" x14ac:dyDescent="0.35">
      <c r="A113" s="4" t="s">
        <v>30</v>
      </c>
      <c r="B113" s="4">
        <v>5</v>
      </c>
      <c r="C113" s="14">
        <f>_xlfn.XLOOKUP(B113,'Average Salary'!A:A,'Average Salary'!B:B)</f>
        <v>42510</v>
      </c>
      <c r="D113" s="14">
        <f>_xlfn.XLOOKUP($B113,'Average Salary'!$A:$A,'Average Salary'!C:C)</f>
        <v>3530</v>
      </c>
      <c r="E113" s="14">
        <f>_xlfn.XLOOKUP($B113,'Average Salary'!$A:$A,'Average Salary'!D:D)</f>
        <v>200</v>
      </c>
      <c r="F113" s="14">
        <f>_xlfn.XLOOKUP($B113,'Average Salary'!$A:$A,'Average Salary'!E:E)</f>
        <v>1062.75</v>
      </c>
    </row>
    <row r="114" spans="1:6" x14ac:dyDescent="0.35">
      <c r="A114" s="4" t="s">
        <v>30</v>
      </c>
      <c r="B114" s="4">
        <v>3</v>
      </c>
      <c r="C114" s="14">
        <f>_xlfn.XLOOKUP(B114,'Average Salary'!A:A,'Average Salary'!B:B)</f>
        <v>25070.000000000004</v>
      </c>
      <c r="D114" s="14">
        <f>_xlfn.XLOOKUP($B114,'Average Salary'!$A:$A,'Average Salary'!C:C)</f>
        <v>2530</v>
      </c>
      <c r="E114" s="14">
        <f>_xlfn.XLOOKUP($B114,'Average Salary'!$A:$A,'Average Salary'!D:D)</f>
        <v>200</v>
      </c>
      <c r="F114" s="14">
        <f>_xlfn.XLOOKUP($B114,'Average Salary'!$A:$A,'Average Salary'!E:E)</f>
        <v>626.75000000000011</v>
      </c>
    </row>
    <row r="115" spans="1:6" x14ac:dyDescent="0.35">
      <c r="A115" s="4" t="s">
        <v>30</v>
      </c>
      <c r="B115" s="4">
        <v>7</v>
      </c>
      <c r="C115" s="14">
        <f>_xlfn.XLOOKUP(B115,'Average Salary'!A:A,'Average Salary'!B:B)</f>
        <v>78480</v>
      </c>
      <c r="D115" s="14">
        <f>_xlfn.XLOOKUP($B115,'Average Salary'!$A:$A,'Average Salary'!C:C)</f>
        <v>3530</v>
      </c>
      <c r="E115" s="14">
        <f>_xlfn.XLOOKUP($B115,'Average Salary'!$A:$A,'Average Salary'!D:D)</f>
        <v>200</v>
      </c>
      <c r="F115" s="14">
        <f>_xlfn.XLOOKUP($B115,'Average Salary'!$A:$A,'Average Salary'!E:E)</f>
        <v>1962</v>
      </c>
    </row>
    <row r="116" spans="1:6" x14ac:dyDescent="0.35">
      <c r="A116" s="4" t="s">
        <v>30</v>
      </c>
      <c r="B116" s="4">
        <v>6</v>
      </c>
      <c r="C116" s="14">
        <f>_xlfn.XLOOKUP(B116,'Average Salary'!A:A,'Average Salary'!B:B)</f>
        <v>62130.000000000007</v>
      </c>
      <c r="D116" s="14">
        <f>_xlfn.XLOOKUP($B116,'Average Salary'!$A:$A,'Average Salary'!C:C)</f>
        <v>3530</v>
      </c>
      <c r="E116" s="14">
        <f>_xlfn.XLOOKUP($B116,'Average Salary'!$A:$A,'Average Salary'!D:D)</f>
        <v>200</v>
      </c>
      <c r="F116" s="14">
        <f>_xlfn.XLOOKUP($B116,'Average Salary'!$A:$A,'Average Salary'!E:E)</f>
        <v>1553.2500000000002</v>
      </c>
    </row>
    <row r="117" spans="1:6" x14ac:dyDescent="0.35">
      <c r="A117" s="4" t="s">
        <v>30</v>
      </c>
      <c r="B117" s="4">
        <v>3</v>
      </c>
      <c r="C117" s="14">
        <f>_xlfn.XLOOKUP(B117,'Average Salary'!A:A,'Average Salary'!B:B)</f>
        <v>25070.000000000004</v>
      </c>
      <c r="D117" s="14">
        <f>_xlfn.XLOOKUP($B117,'Average Salary'!$A:$A,'Average Salary'!C:C)</f>
        <v>2530</v>
      </c>
      <c r="E117" s="14">
        <f>_xlfn.XLOOKUP($B117,'Average Salary'!$A:$A,'Average Salary'!D:D)</f>
        <v>200</v>
      </c>
      <c r="F117" s="14">
        <f>_xlfn.XLOOKUP($B117,'Average Salary'!$A:$A,'Average Salary'!E:E)</f>
        <v>626.75000000000011</v>
      </c>
    </row>
    <row r="118" spans="1:6" x14ac:dyDescent="0.35">
      <c r="A118" s="4" t="s">
        <v>30</v>
      </c>
      <c r="B118" s="4">
        <v>5</v>
      </c>
      <c r="C118" s="14">
        <f>_xlfn.XLOOKUP(B118,'Average Salary'!A:A,'Average Salary'!B:B)</f>
        <v>42510</v>
      </c>
      <c r="D118" s="14">
        <f>_xlfn.XLOOKUP($B118,'Average Salary'!$A:$A,'Average Salary'!C:C)</f>
        <v>3530</v>
      </c>
      <c r="E118" s="14">
        <f>_xlfn.XLOOKUP($B118,'Average Salary'!$A:$A,'Average Salary'!D:D)</f>
        <v>200</v>
      </c>
      <c r="F118" s="14">
        <f>_xlfn.XLOOKUP($B118,'Average Salary'!$A:$A,'Average Salary'!E:E)</f>
        <v>1062.75</v>
      </c>
    </row>
    <row r="119" spans="1:6" x14ac:dyDescent="0.35">
      <c r="A119" s="4" t="s">
        <v>30</v>
      </c>
      <c r="B119" s="4">
        <v>5</v>
      </c>
      <c r="C119" s="14">
        <f>_xlfn.XLOOKUP(B119,'Average Salary'!A:A,'Average Salary'!B:B)</f>
        <v>42510</v>
      </c>
      <c r="D119" s="14">
        <f>_xlfn.XLOOKUP($B119,'Average Salary'!$A:$A,'Average Salary'!C:C)</f>
        <v>3530</v>
      </c>
      <c r="E119" s="14">
        <f>_xlfn.XLOOKUP($B119,'Average Salary'!$A:$A,'Average Salary'!D:D)</f>
        <v>200</v>
      </c>
      <c r="F119" s="14">
        <f>_xlfn.XLOOKUP($B119,'Average Salary'!$A:$A,'Average Salary'!E:E)</f>
        <v>1062.75</v>
      </c>
    </row>
    <row r="120" spans="1:6" x14ac:dyDescent="0.35">
      <c r="A120" s="4" t="s">
        <v>30</v>
      </c>
      <c r="B120" s="4">
        <v>3</v>
      </c>
      <c r="C120" s="14">
        <f>_xlfn.XLOOKUP(B120,'Average Salary'!A:A,'Average Salary'!B:B)</f>
        <v>25070.000000000004</v>
      </c>
      <c r="D120" s="14">
        <f>_xlfn.XLOOKUP($B120,'Average Salary'!$A:$A,'Average Salary'!C:C)</f>
        <v>2530</v>
      </c>
      <c r="E120" s="14">
        <f>_xlfn.XLOOKUP($B120,'Average Salary'!$A:$A,'Average Salary'!D:D)</f>
        <v>200</v>
      </c>
      <c r="F120" s="14">
        <f>_xlfn.XLOOKUP($B120,'Average Salary'!$A:$A,'Average Salary'!E:E)</f>
        <v>626.75000000000011</v>
      </c>
    </row>
    <row r="121" spans="1:6" x14ac:dyDescent="0.35">
      <c r="A121" s="4" t="s">
        <v>30</v>
      </c>
      <c r="B121" s="4">
        <v>7</v>
      </c>
      <c r="C121" s="14">
        <f>_xlfn.XLOOKUP(B121,'Average Salary'!A:A,'Average Salary'!B:B)</f>
        <v>78480</v>
      </c>
      <c r="D121" s="14">
        <f>_xlfn.XLOOKUP($B121,'Average Salary'!$A:$A,'Average Salary'!C:C)</f>
        <v>3530</v>
      </c>
      <c r="E121" s="14">
        <f>_xlfn.XLOOKUP($B121,'Average Salary'!$A:$A,'Average Salary'!D:D)</f>
        <v>200</v>
      </c>
      <c r="F121" s="14">
        <f>_xlfn.XLOOKUP($B121,'Average Salary'!$A:$A,'Average Salary'!E:E)</f>
        <v>1962</v>
      </c>
    </row>
    <row r="122" spans="1:6" x14ac:dyDescent="0.35">
      <c r="A122" s="4" t="s">
        <v>30</v>
      </c>
      <c r="B122" s="4">
        <v>3</v>
      </c>
      <c r="C122" s="14">
        <f>_xlfn.XLOOKUP(B122,'Average Salary'!A:A,'Average Salary'!B:B)</f>
        <v>25070.000000000004</v>
      </c>
      <c r="D122" s="14">
        <f>_xlfn.XLOOKUP($B122,'Average Salary'!$A:$A,'Average Salary'!C:C)</f>
        <v>2530</v>
      </c>
      <c r="E122" s="14">
        <f>_xlfn.XLOOKUP($B122,'Average Salary'!$A:$A,'Average Salary'!D:D)</f>
        <v>200</v>
      </c>
      <c r="F122" s="14">
        <f>_xlfn.XLOOKUP($B122,'Average Salary'!$A:$A,'Average Salary'!E:E)</f>
        <v>626.75000000000011</v>
      </c>
    </row>
    <row r="123" spans="1:6" x14ac:dyDescent="0.35">
      <c r="A123" s="4" t="s">
        <v>30</v>
      </c>
      <c r="B123" s="4">
        <v>4</v>
      </c>
      <c r="C123" s="14">
        <f>_xlfn.XLOOKUP(B123,'Average Salary'!A:A,'Average Salary'!B:B)</f>
        <v>33790</v>
      </c>
      <c r="D123" s="14">
        <f>_xlfn.XLOOKUP($B123,'Average Salary'!$A:$A,'Average Salary'!C:C)</f>
        <v>3430</v>
      </c>
      <c r="E123" s="14">
        <f>_xlfn.XLOOKUP($B123,'Average Salary'!$A:$A,'Average Salary'!D:D)</f>
        <v>200</v>
      </c>
      <c r="F123" s="14">
        <f>_xlfn.XLOOKUP($B123,'Average Salary'!$A:$A,'Average Salary'!E:E)</f>
        <v>844.75</v>
      </c>
    </row>
    <row r="124" spans="1:6" x14ac:dyDescent="0.35">
      <c r="A124" s="4" t="s">
        <v>30</v>
      </c>
      <c r="B124" s="4">
        <v>5</v>
      </c>
      <c r="C124" s="14">
        <f>_xlfn.XLOOKUP(B124,'Average Salary'!A:A,'Average Salary'!B:B)</f>
        <v>42510</v>
      </c>
      <c r="D124" s="14">
        <f>_xlfn.XLOOKUP($B124,'Average Salary'!$A:$A,'Average Salary'!C:C)</f>
        <v>3530</v>
      </c>
      <c r="E124" s="14">
        <f>_xlfn.XLOOKUP($B124,'Average Salary'!$A:$A,'Average Salary'!D:D)</f>
        <v>200</v>
      </c>
      <c r="F124" s="14">
        <f>_xlfn.XLOOKUP($B124,'Average Salary'!$A:$A,'Average Salary'!E:E)</f>
        <v>1062.75</v>
      </c>
    </row>
    <row r="125" spans="1:6" x14ac:dyDescent="0.35">
      <c r="A125" s="4" t="s">
        <v>30</v>
      </c>
      <c r="B125" s="4">
        <v>3</v>
      </c>
      <c r="C125" s="14">
        <f>_xlfn.XLOOKUP(B125,'Average Salary'!A:A,'Average Salary'!B:B)</f>
        <v>25070.000000000004</v>
      </c>
      <c r="D125" s="14">
        <f>_xlfn.XLOOKUP($B125,'Average Salary'!$A:$A,'Average Salary'!C:C)</f>
        <v>2530</v>
      </c>
      <c r="E125" s="14">
        <f>_xlfn.XLOOKUP($B125,'Average Salary'!$A:$A,'Average Salary'!D:D)</f>
        <v>200</v>
      </c>
      <c r="F125" s="14">
        <f>_xlfn.XLOOKUP($B125,'Average Salary'!$A:$A,'Average Salary'!E:E)</f>
        <v>626.75000000000011</v>
      </c>
    </row>
    <row r="126" spans="1:6" x14ac:dyDescent="0.35">
      <c r="A126" s="4" t="s">
        <v>30</v>
      </c>
      <c r="B126" s="4">
        <v>3</v>
      </c>
      <c r="C126" s="14">
        <f>_xlfn.XLOOKUP(B126,'Average Salary'!A:A,'Average Salary'!B:B)</f>
        <v>25070.000000000004</v>
      </c>
      <c r="D126" s="14">
        <f>_xlfn.XLOOKUP($B126,'Average Salary'!$A:$A,'Average Salary'!C:C)</f>
        <v>2530</v>
      </c>
      <c r="E126" s="14">
        <f>_xlfn.XLOOKUP($B126,'Average Salary'!$A:$A,'Average Salary'!D:D)</f>
        <v>200</v>
      </c>
      <c r="F126" s="14">
        <f>_xlfn.XLOOKUP($B126,'Average Salary'!$A:$A,'Average Salary'!E:E)</f>
        <v>626.75000000000011</v>
      </c>
    </row>
    <row r="127" spans="1:6" x14ac:dyDescent="0.35">
      <c r="A127" s="4" t="s">
        <v>30</v>
      </c>
      <c r="B127" s="4">
        <v>6</v>
      </c>
      <c r="C127" s="14">
        <f>_xlfn.XLOOKUP(B127,'Average Salary'!A:A,'Average Salary'!B:B)</f>
        <v>62130.000000000007</v>
      </c>
      <c r="D127" s="14">
        <f>_xlfn.XLOOKUP($B127,'Average Salary'!$A:$A,'Average Salary'!C:C)</f>
        <v>3530</v>
      </c>
      <c r="E127" s="14">
        <f>_xlfn.XLOOKUP($B127,'Average Salary'!$A:$A,'Average Salary'!D:D)</f>
        <v>200</v>
      </c>
      <c r="F127" s="14">
        <f>_xlfn.XLOOKUP($B127,'Average Salary'!$A:$A,'Average Salary'!E:E)</f>
        <v>1553.2500000000002</v>
      </c>
    </row>
    <row r="128" spans="1:6" x14ac:dyDescent="0.35">
      <c r="A128" s="4" t="s">
        <v>30</v>
      </c>
      <c r="B128" s="4">
        <v>5</v>
      </c>
      <c r="C128" s="14">
        <f>_xlfn.XLOOKUP(B128,'Average Salary'!A:A,'Average Salary'!B:B)</f>
        <v>42510</v>
      </c>
      <c r="D128" s="14">
        <f>_xlfn.XLOOKUP($B128,'Average Salary'!$A:$A,'Average Salary'!C:C)</f>
        <v>3530</v>
      </c>
      <c r="E128" s="14">
        <f>_xlfn.XLOOKUP($B128,'Average Salary'!$A:$A,'Average Salary'!D:D)</f>
        <v>200</v>
      </c>
      <c r="F128" s="14">
        <f>_xlfn.XLOOKUP($B128,'Average Salary'!$A:$A,'Average Salary'!E:E)</f>
        <v>1062.75</v>
      </c>
    </row>
    <row r="129" spans="1:6" x14ac:dyDescent="0.35">
      <c r="A129" s="4" t="s">
        <v>30</v>
      </c>
      <c r="B129" s="4">
        <v>5</v>
      </c>
      <c r="C129" s="14">
        <f>_xlfn.XLOOKUP(B129,'Average Salary'!A:A,'Average Salary'!B:B)</f>
        <v>42510</v>
      </c>
      <c r="D129" s="14">
        <f>_xlfn.XLOOKUP($B129,'Average Salary'!$A:$A,'Average Salary'!C:C)</f>
        <v>3530</v>
      </c>
      <c r="E129" s="14">
        <f>_xlfn.XLOOKUP($B129,'Average Salary'!$A:$A,'Average Salary'!D:D)</f>
        <v>200</v>
      </c>
      <c r="F129" s="14">
        <f>_xlfn.XLOOKUP($B129,'Average Salary'!$A:$A,'Average Salary'!E:E)</f>
        <v>1062.75</v>
      </c>
    </row>
    <row r="130" spans="1:6" x14ac:dyDescent="0.35">
      <c r="A130" s="4" t="s">
        <v>30</v>
      </c>
      <c r="B130" s="4">
        <v>5</v>
      </c>
      <c r="C130" s="14">
        <f>_xlfn.XLOOKUP(B130,'Average Salary'!A:A,'Average Salary'!B:B)</f>
        <v>42510</v>
      </c>
      <c r="D130" s="14">
        <f>_xlfn.XLOOKUP($B130,'Average Salary'!$A:$A,'Average Salary'!C:C)</f>
        <v>3530</v>
      </c>
      <c r="E130" s="14">
        <f>_xlfn.XLOOKUP($B130,'Average Salary'!$A:$A,'Average Salary'!D:D)</f>
        <v>200</v>
      </c>
      <c r="F130" s="14">
        <f>_xlfn.XLOOKUP($B130,'Average Salary'!$A:$A,'Average Salary'!E:E)</f>
        <v>1062.75</v>
      </c>
    </row>
    <row r="131" spans="1:6" x14ac:dyDescent="0.35">
      <c r="A131" s="4" t="s">
        <v>30</v>
      </c>
      <c r="B131" s="4">
        <v>5</v>
      </c>
      <c r="C131" s="14">
        <f>_xlfn.XLOOKUP(B131,'Average Salary'!A:A,'Average Salary'!B:B)</f>
        <v>42510</v>
      </c>
      <c r="D131" s="14">
        <f>_xlfn.XLOOKUP($B131,'Average Salary'!$A:$A,'Average Salary'!C:C)</f>
        <v>3530</v>
      </c>
      <c r="E131" s="14">
        <f>_xlfn.XLOOKUP($B131,'Average Salary'!$A:$A,'Average Salary'!D:D)</f>
        <v>200</v>
      </c>
      <c r="F131" s="14">
        <f>_xlfn.XLOOKUP($B131,'Average Salary'!$A:$A,'Average Salary'!E:E)</f>
        <v>1062.75</v>
      </c>
    </row>
    <row r="132" spans="1:6" x14ac:dyDescent="0.35">
      <c r="A132" s="4" t="s">
        <v>30</v>
      </c>
      <c r="B132" s="4">
        <v>7</v>
      </c>
      <c r="C132" s="14">
        <f>_xlfn.XLOOKUP(B132,'Average Salary'!A:A,'Average Salary'!B:B)</f>
        <v>78480</v>
      </c>
      <c r="D132" s="14">
        <f>_xlfn.XLOOKUP($B132,'Average Salary'!$A:$A,'Average Salary'!C:C)</f>
        <v>3530</v>
      </c>
      <c r="E132" s="14">
        <f>_xlfn.XLOOKUP($B132,'Average Salary'!$A:$A,'Average Salary'!D:D)</f>
        <v>200</v>
      </c>
      <c r="F132" s="14">
        <f>_xlfn.XLOOKUP($B132,'Average Salary'!$A:$A,'Average Salary'!E:E)</f>
        <v>1962</v>
      </c>
    </row>
    <row r="133" spans="1:6" x14ac:dyDescent="0.35">
      <c r="A133" s="4" t="s">
        <v>30</v>
      </c>
      <c r="B133" s="4">
        <v>4</v>
      </c>
      <c r="C133" s="14">
        <f>_xlfn.XLOOKUP(B133,'Average Salary'!A:A,'Average Salary'!B:B)</f>
        <v>33790</v>
      </c>
      <c r="D133" s="14">
        <f>_xlfn.XLOOKUP($B133,'Average Salary'!$A:$A,'Average Salary'!C:C)</f>
        <v>3430</v>
      </c>
      <c r="E133" s="14">
        <f>_xlfn.XLOOKUP($B133,'Average Salary'!$A:$A,'Average Salary'!D:D)</f>
        <v>200</v>
      </c>
      <c r="F133" s="14">
        <f>_xlfn.XLOOKUP($B133,'Average Salary'!$A:$A,'Average Salary'!E:E)</f>
        <v>844.75</v>
      </c>
    </row>
    <row r="134" spans="1:6" x14ac:dyDescent="0.35">
      <c r="A134" s="4" t="s">
        <v>30</v>
      </c>
      <c r="B134" s="4">
        <v>5</v>
      </c>
      <c r="C134" s="14">
        <f>_xlfn.XLOOKUP(B134,'Average Salary'!A:A,'Average Salary'!B:B)</f>
        <v>42510</v>
      </c>
      <c r="D134" s="14">
        <f>_xlfn.XLOOKUP($B134,'Average Salary'!$A:$A,'Average Salary'!C:C)</f>
        <v>3530</v>
      </c>
      <c r="E134" s="14">
        <f>_xlfn.XLOOKUP($B134,'Average Salary'!$A:$A,'Average Salary'!D:D)</f>
        <v>200</v>
      </c>
      <c r="F134" s="14">
        <f>_xlfn.XLOOKUP($B134,'Average Salary'!$A:$A,'Average Salary'!E:E)</f>
        <v>1062.75</v>
      </c>
    </row>
    <row r="135" spans="1:6" x14ac:dyDescent="0.35">
      <c r="A135" s="4" t="s">
        <v>30</v>
      </c>
      <c r="B135" s="4">
        <v>8</v>
      </c>
      <c r="C135" s="14">
        <f>_xlfn.XLOOKUP(B135,'Average Salary'!A:A,'Average Salary'!B:B)</f>
        <v>115927.90920000001</v>
      </c>
      <c r="D135" s="14">
        <f>_xlfn.XLOOKUP($B135,'Average Salary'!$A:$A,'Average Salary'!C:C)</f>
        <v>3530</v>
      </c>
      <c r="E135" s="14">
        <f>_xlfn.XLOOKUP($B135,'Average Salary'!$A:$A,'Average Salary'!D:D)</f>
        <v>200</v>
      </c>
      <c r="F135" s="14">
        <f>_xlfn.XLOOKUP($B135,'Average Salary'!$A:$A,'Average Salary'!E:E)</f>
        <v>2500</v>
      </c>
    </row>
    <row r="136" spans="1:6" x14ac:dyDescent="0.35">
      <c r="A136" s="4" t="s">
        <v>30</v>
      </c>
      <c r="B136" s="4">
        <v>4</v>
      </c>
      <c r="C136" s="14">
        <f>_xlfn.XLOOKUP(B136,'Average Salary'!A:A,'Average Salary'!B:B)</f>
        <v>33790</v>
      </c>
      <c r="D136" s="14">
        <f>_xlfn.XLOOKUP($B136,'Average Salary'!$A:$A,'Average Salary'!C:C)</f>
        <v>3430</v>
      </c>
      <c r="E136" s="14">
        <f>_xlfn.XLOOKUP($B136,'Average Salary'!$A:$A,'Average Salary'!D:D)</f>
        <v>200</v>
      </c>
      <c r="F136" s="14">
        <f>_xlfn.XLOOKUP($B136,'Average Salary'!$A:$A,'Average Salary'!E:E)</f>
        <v>844.75</v>
      </c>
    </row>
    <row r="137" spans="1:6" x14ac:dyDescent="0.35">
      <c r="A137" s="4" t="s">
        <v>30</v>
      </c>
      <c r="B137" s="4">
        <v>8</v>
      </c>
      <c r="C137" s="14">
        <f>_xlfn.XLOOKUP(B137,'Average Salary'!A:A,'Average Salary'!B:B)</f>
        <v>115927.90920000001</v>
      </c>
      <c r="D137" s="14">
        <f>_xlfn.XLOOKUP($B137,'Average Salary'!$A:$A,'Average Salary'!C:C)</f>
        <v>3530</v>
      </c>
      <c r="E137" s="14">
        <f>_xlfn.XLOOKUP($B137,'Average Salary'!$A:$A,'Average Salary'!D:D)</f>
        <v>200</v>
      </c>
      <c r="F137" s="14">
        <f>_xlfn.XLOOKUP($B137,'Average Salary'!$A:$A,'Average Salary'!E:E)</f>
        <v>2500</v>
      </c>
    </row>
    <row r="138" spans="1:6" x14ac:dyDescent="0.35">
      <c r="A138" s="4" t="s">
        <v>30</v>
      </c>
      <c r="B138" s="4">
        <v>7</v>
      </c>
      <c r="C138" s="14">
        <f>_xlfn.XLOOKUP(B138,'Average Salary'!A:A,'Average Salary'!B:B)</f>
        <v>78480</v>
      </c>
      <c r="D138" s="14">
        <f>_xlfn.XLOOKUP($B138,'Average Salary'!$A:$A,'Average Salary'!C:C)</f>
        <v>3530</v>
      </c>
      <c r="E138" s="14">
        <f>_xlfn.XLOOKUP($B138,'Average Salary'!$A:$A,'Average Salary'!D:D)</f>
        <v>200</v>
      </c>
      <c r="F138" s="14">
        <f>_xlfn.XLOOKUP($B138,'Average Salary'!$A:$A,'Average Salary'!E:E)</f>
        <v>1962</v>
      </c>
    </row>
    <row r="139" spans="1:6" x14ac:dyDescent="0.35">
      <c r="A139" s="4" t="s">
        <v>30</v>
      </c>
      <c r="B139" s="4">
        <v>6</v>
      </c>
      <c r="C139" s="14">
        <f>_xlfn.XLOOKUP(B139,'Average Salary'!A:A,'Average Salary'!B:B)</f>
        <v>62130.000000000007</v>
      </c>
      <c r="D139" s="14">
        <f>_xlfn.XLOOKUP($B139,'Average Salary'!$A:$A,'Average Salary'!C:C)</f>
        <v>3530</v>
      </c>
      <c r="E139" s="14">
        <f>_xlfn.XLOOKUP($B139,'Average Salary'!$A:$A,'Average Salary'!D:D)</f>
        <v>200</v>
      </c>
      <c r="F139" s="14">
        <f>_xlfn.XLOOKUP($B139,'Average Salary'!$A:$A,'Average Salary'!E:E)</f>
        <v>1553.2500000000002</v>
      </c>
    </row>
    <row r="140" spans="1:6" x14ac:dyDescent="0.35">
      <c r="A140" s="4" t="s">
        <v>30</v>
      </c>
      <c r="B140" s="4">
        <v>5</v>
      </c>
      <c r="C140" s="14">
        <f>_xlfn.XLOOKUP(B140,'Average Salary'!A:A,'Average Salary'!B:B)</f>
        <v>42510</v>
      </c>
      <c r="D140" s="14">
        <f>_xlfn.XLOOKUP($B140,'Average Salary'!$A:$A,'Average Salary'!C:C)</f>
        <v>3530</v>
      </c>
      <c r="E140" s="14">
        <f>_xlfn.XLOOKUP($B140,'Average Salary'!$A:$A,'Average Salary'!D:D)</f>
        <v>200</v>
      </c>
      <c r="F140" s="14">
        <f>_xlfn.XLOOKUP($B140,'Average Salary'!$A:$A,'Average Salary'!E:E)</f>
        <v>1062.75</v>
      </c>
    </row>
    <row r="141" spans="1:6" x14ac:dyDescent="0.35">
      <c r="A141" s="4" t="s">
        <v>30</v>
      </c>
      <c r="B141" s="4">
        <v>5</v>
      </c>
      <c r="C141" s="14">
        <f>_xlfn.XLOOKUP(B141,'Average Salary'!A:A,'Average Salary'!B:B)</f>
        <v>42510</v>
      </c>
      <c r="D141" s="14">
        <f>_xlfn.XLOOKUP($B141,'Average Salary'!$A:$A,'Average Salary'!C:C)</f>
        <v>3530</v>
      </c>
      <c r="E141" s="14">
        <f>_xlfn.XLOOKUP($B141,'Average Salary'!$A:$A,'Average Salary'!D:D)</f>
        <v>200</v>
      </c>
      <c r="F141" s="14">
        <f>_xlfn.XLOOKUP($B141,'Average Salary'!$A:$A,'Average Salary'!E:E)</f>
        <v>1062.75</v>
      </c>
    </row>
    <row r="142" spans="1:6" x14ac:dyDescent="0.35">
      <c r="A142" s="4" t="s">
        <v>30</v>
      </c>
      <c r="B142" s="4">
        <v>5</v>
      </c>
      <c r="C142" s="14">
        <f>_xlfn.XLOOKUP(B142,'Average Salary'!A:A,'Average Salary'!B:B)</f>
        <v>42510</v>
      </c>
      <c r="D142" s="14">
        <f>_xlfn.XLOOKUP($B142,'Average Salary'!$A:$A,'Average Salary'!C:C)</f>
        <v>3530</v>
      </c>
      <c r="E142" s="14">
        <f>_xlfn.XLOOKUP($B142,'Average Salary'!$A:$A,'Average Salary'!D:D)</f>
        <v>200</v>
      </c>
      <c r="F142" s="14">
        <f>_xlfn.XLOOKUP($B142,'Average Salary'!$A:$A,'Average Salary'!E:E)</f>
        <v>1062.75</v>
      </c>
    </row>
    <row r="143" spans="1:6" x14ac:dyDescent="0.35">
      <c r="A143" s="4" t="s">
        <v>30</v>
      </c>
      <c r="B143" s="4">
        <v>5</v>
      </c>
      <c r="C143" s="14">
        <f>_xlfn.XLOOKUP(B143,'Average Salary'!A:A,'Average Salary'!B:B)</f>
        <v>42510</v>
      </c>
      <c r="D143" s="14">
        <f>_xlfn.XLOOKUP($B143,'Average Salary'!$A:$A,'Average Salary'!C:C)</f>
        <v>3530</v>
      </c>
      <c r="E143" s="14">
        <f>_xlfn.XLOOKUP($B143,'Average Salary'!$A:$A,'Average Salary'!D:D)</f>
        <v>200</v>
      </c>
      <c r="F143" s="14">
        <f>_xlfn.XLOOKUP($B143,'Average Salary'!$A:$A,'Average Salary'!E:E)</f>
        <v>1062.75</v>
      </c>
    </row>
    <row r="144" spans="1:6" x14ac:dyDescent="0.35">
      <c r="A144" s="4" t="s">
        <v>30</v>
      </c>
      <c r="B144" s="4">
        <v>7</v>
      </c>
      <c r="C144" s="14">
        <f>_xlfn.XLOOKUP(B144,'Average Salary'!A:A,'Average Salary'!B:B)</f>
        <v>78480</v>
      </c>
      <c r="D144" s="14">
        <f>_xlfn.XLOOKUP($B144,'Average Salary'!$A:$A,'Average Salary'!C:C)</f>
        <v>3530</v>
      </c>
      <c r="E144" s="14">
        <f>_xlfn.XLOOKUP($B144,'Average Salary'!$A:$A,'Average Salary'!D:D)</f>
        <v>200</v>
      </c>
      <c r="F144" s="14">
        <f>_xlfn.XLOOKUP($B144,'Average Salary'!$A:$A,'Average Salary'!E:E)</f>
        <v>1962</v>
      </c>
    </row>
    <row r="145" spans="1:6" x14ac:dyDescent="0.35">
      <c r="A145" s="4" t="s">
        <v>30</v>
      </c>
      <c r="B145" s="4">
        <v>4</v>
      </c>
      <c r="C145" s="14">
        <f>_xlfn.XLOOKUP(B145,'Average Salary'!A:A,'Average Salary'!B:B)</f>
        <v>33790</v>
      </c>
      <c r="D145" s="14">
        <f>_xlfn.XLOOKUP($B145,'Average Salary'!$A:$A,'Average Salary'!C:C)</f>
        <v>3430</v>
      </c>
      <c r="E145" s="14">
        <f>_xlfn.XLOOKUP($B145,'Average Salary'!$A:$A,'Average Salary'!D:D)</f>
        <v>200</v>
      </c>
      <c r="F145" s="14">
        <f>_xlfn.XLOOKUP($B145,'Average Salary'!$A:$A,'Average Salary'!E:E)</f>
        <v>844.75</v>
      </c>
    </row>
    <row r="146" spans="1:6" x14ac:dyDescent="0.35">
      <c r="A146" s="4" t="s">
        <v>30</v>
      </c>
      <c r="B146" s="4">
        <v>4</v>
      </c>
      <c r="C146" s="14">
        <f>_xlfn.XLOOKUP(B146,'Average Salary'!A:A,'Average Salary'!B:B)</f>
        <v>33790</v>
      </c>
      <c r="D146" s="14">
        <f>_xlfn.XLOOKUP($B146,'Average Salary'!$A:$A,'Average Salary'!C:C)</f>
        <v>3430</v>
      </c>
      <c r="E146" s="14">
        <f>_xlfn.XLOOKUP($B146,'Average Salary'!$A:$A,'Average Salary'!D:D)</f>
        <v>200</v>
      </c>
      <c r="F146" s="14">
        <f>_xlfn.XLOOKUP($B146,'Average Salary'!$A:$A,'Average Salary'!E:E)</f>
        <v>844.75</v>
      </c>
    </row>
    <row r="147" spans="1:6" x14ac:dyDescent="0.35">
      <c r="A147" s="4" t="s">
        <v>30</v>
      </c>
      <c r="B147" s="4">
        <v>5</v>
      </c>
      <c r="C147" s="14">
        <f>_xlfn.XLOOKUP(B147,'Average Salary'!A:A,'Average Salary'!B:B)</f>
        <v>42510</v>
      </c>
      <c r="D147" s="14">
        <f>_xlfn.XLOOKUP($B147,'Average Salary'!$A:$A,'Average Salary'!C:C)</f>
        <v>3530</v>
      </c>
      <c r="E147" s="14">
        <f>_xlfn.XLOOKUP($B147,'Average Salary'!$A:$A,'Average Salary'!D:D)</f>
        <v>200</v>
      </c>
      <c r="F147" s="14">
        <f>_xlfn.XLOOKUP($B147,'Average Salary'!$A:$A,'Average Salary'!E:E)</f>
        <v>1062.75</v>
      </c>
    </row>
    <row r="148" spans="1:6" x14ac:dyDescent="0.35">
      <c r="A148" s="4" t="s">
        <v>30</v>
      </c>
      <c r="B148" s="4">
        <v>5</v>
      </c>
      <c r="C148" s="14">
        <f>_xlfn.XLOOKUP(B148,'Average Salary'!A:A,'Average Salary'!B:B)</f>
        <v>42510</v>
      </c>
      <c r="D148" s="14">
        <f>_xlfn.XLOOKUP($B148,'Average Salary'!$A:$A,'Average Salary'!C:C)</f>
        <v>3530</v>
      </c>
      <c r="E148" s="14">
        <f>_xlfn.XLOOKUP($B148,'Average Salary'!$A:$A,'Average Salary'!D:D)</f>
        <v>200</v>
      </c>
      <c r="F148" s="14">
        <f>_xlfn.XLOOKUP($B148,'Average Salary'!$A:$A,'Average Salary'!E:E)</f>
        <v>1062.75</v>
      </c>
    </row>
    <row r="149" spans="1:6" x14ac:dyDescent="0.35">
      <c r="A149" s="4" t="s">
        <v>30</v>
      </c>
      <c r="B149" s="4">
        <v>3</v>
      </c>
      <c r="C149" s="14">
        <f>_xlfn.XLOOKUP(B149,'Average Salary'!A:A,'Average Salary'!B:B)</f>
        <v>25070.000000000004</v>
      </c>
      <c r="D149" s="14">
        <f>_xlfn.XLOOKUP($B149,'Average Salary'!$A:$A,'Average Salary'!C:C)</f>
        <v>2530</v>
      </c>
      <c r="E149" s="14">
        <f>_xlfn.XLOOKUP($B149,'Average Salary'!$A:$A,'Average Salary'!D:D)</f>
        <v>200</v>
      </c>
      <c r="F149" s="14">
        <f>_xlfn.XLOOKUP($B149,'Average Salary'!$A:$A,'Average Salary'!E:E)</f>
        <v>626.75000000000011</v>
      </c>
    </row>
    <row r="150" spans="1:6" x14ac:dyDescent="0.35">
      <c r="A150" s="4" t="s">
        <v>30</v>
      </c>
      <c r="B150" s="4">
        <v>4</v>
      </c>
      <c r="C150" s="14">
        <f>_xlfn.XLOOKUP(B150,'Average Salary'!A:A,'Average Salary'!B:B)</f>
        <v>33790</v>
      </c>
      <c r="D150" s="14">
        <f>_xlfn.XLOOKUP($B150,'Average Salary'!$A:$A,'Average Salary'!C:C)</f>
        <v>3430</v>
      </c>
      <c r="E150" s="14">
        <f>_xlfn.XLOOKUP($B150,'Average Salary'!$A:$A,'Average Salary'!D:D)</f>
        <v>200</v>
      </c>
      <c r="F150" s="14">
        <f>_xlfn.XLOOKUP($B150,'Average Salary'!$A:$A,'Average Salary'!E:E)</f>
        <v>844.75</v>
      </c>
    </row>
    <row r="151" spans="1:6" x14ac:dyDescent="0.35">
      <c r="A151" s="4" t="s">
        <v>30</v>
      </c>
      <c r="B151" s="4">
        <v>4</v>
      </c>
      <c r="C151" s="14">
        <f>_xlfn.XLOOKUP(B151,'Average Salary'!A:A,'Average Salary'!B:B)</f>
        <v>33790</v>
      </c>
      <c r="D151" s="14">
        <f>_xlfn.XLOOKUP($B151,'Average Salary'!$A:$A,'Average Salary'!C:C)</f>
        <v>3430</v>
      </c>
      <c r="E151" s="14">
        <f>_xlfn.XLOOKUP($B151,'Average Salary'!$A:$A,'Average Salary'!D:D)</f>
        <v>200</v>
      </c>
      <c r="F151" s="14">
        <f>_xlfn.XLOOKUP($B151,'Average Salary'!$A:$A,'Average Salary'!E:E)</f>
        <v>844.75</v>
      </c>
    </row>
    <row r="152" spans="1:6" x14ac:dyDescent="0.35">
      <c r="A152" s="4" t="s">
        <v>30</v>
      </c>
      <c r="B152" s="4">
        <v>7</v>
      </c>
      <c r="C152" s="14">
        <f>_xlfn.XLOOKUP(B152,'Average Salary'!A:A,'Average Salary'!B:B)</f>
        <v>78480</v>
      </c>
      <c r="D152" s="14">
        <f>_xlfn.XLOOKUP($B152,'Average Salary'!$A:$A,'Average Salary'!C:C)</f>
        <v>3530</v>
      </c>
      <c r="E152" s="14">
        <f>_xlfn.XLOOKUP($B152,'Average Salary'!$A:$A,'Average Salary'!D:D)</f>
        <v>200</v>
      </c>
      <c r="F152" s="14">
        <f>_xlfn.XLOOKUP($B152,'Average Salary'!$A:$A,'Average Salary'!E:E)</f>
        <v>1962</v>
      </c>
    </row>
    <row r="153" spans="1:6" x14ac:dyDescent="0.35">
      <c r="A153" s="4" t="s">
        <v>30</v>
      </c>
      <c r="B153" s="4">
        <v>3</v>
      </c>
      <c r="C153" s="14">
        <f>_xlfn.XLOOKUP(B153,'Average Salary'!A:A,'Average Salary'!B:B)</f>
        <v>25070.000000000004</v>
      </c>
      <c r="D153" s="14">
        <f>_xlfn.XLOOKUP($B153,'Average Salary'!$A:$A,'Average Salary'!C:C)</f>
        <v>2530</v>
      </c>
      <c r="E153" s="14">
        <f>_xlfn.XLOOKUP($B153,'Average Salary'!$A:$A,'Average Salary'!D:D)</f>
        <v>200</v>
      </c>
      <c r="F153" s="14">
        <f>_xlfn.XLOOKUP($B153,'Average Salary'!$A:$A,'Average Salary'!E:E)</f>
        <v>626.75000000000011</v>
      </c>
    </row>
    <row r="154" spans="1:6" x14ac:dyDescent="0.35">
      <c r="A154" s="4" t="s">
        <v>30</v>
      </c>
      <c r="B154" s="4">
        <v>8</v>
      </c>
      <c r="C154" s="14">
        <f>_xlfn.XLOOKUP(B154,'Average Salary'!A:A,'Average Salary'!B:B)</f>
        <v>115927.90920000001</v>
      </c>
      <c r="D154" s="14">
        <f>_xlfn.XLOOKUP($B154,'Average Salary'!$A:$A,'Average Salary'!C:C)</f>
        <v>3530</v>
      </c>
      <c r="E154" s="14">
        <f>_xlfn.XLOOKUP($B154,'Average Salary'!$A:$A,'Average Salary'!D:D)</f>
        <v>200</v>
      </c>
      <c r="F154" s="14">
        <f>_xlfn.XLOOKUP($B154,'Average Salary'!$A:$A,'Average Salary'!E:E)</f>
        <v>2500</v>
      </c>
    </row>
    <row r="155" spans="1:6" x14ac:dyDescent="0.35">
      <c r="A155" s="4" t="s">
        <v>30</v>
      </c>
      <c r="B155" s="4">
        <v>8</v>
      </c>
      <c r="C155" s="14">
        <f>_xlfn.XLOOKUP(B155,'Average Salary'!A:A,'Average Salary'!B:B)</f>
        <v>115927.90920000001</v>
      </c>
      <c r="D155" s="14">
        <f>_xlfn.XLOOKUP($B155,'Average Salary'!$A:$A,'Average Salary'!C:C)</f>
        <v>3530</v>
      </c>
      <c r="E155" s="14">
        <f>_xlfn.XLOOKUP($B155,'Average Salary'!$A:$A,'Average Salary'!D:D)</f>
        <v>200</v>
      </c>
      <c r="F155" s="14">
        <f>_xlfn.XLOOKUP($B155,'Average Salary'!$A:$A,'Average Salary'!E:E)</f>
        <v>2500</v>
      </c>
    </row>
    <row r="156" spans="1:6" x14ac:dyDescent="0.35">
      <c r="A156" s="4" t="s">
        <v>29</v>
      </c>
      <c r="B156" s="4">
        <v>3</v>
      </c>
      <c r="C156" s="14">
        <f>_xlfn.XLOOKUP(B156,'Average Salary'!A:A,'Average Salary'!B:B)</f>
        <v>25070.000000000004</v>
      </c>
      <c r="D156" s="14">
        <f>_xlfn.XLOOKUP($B156,'Average Salary'!$A:$A,'Average Salary'!C:C)</f>
        <v>2530</v>
      </c>
      <c r="E156" s="14">
        <f>_xlfn.XLOOKUP($B156,'Average Salary'!$A:$A,'Average Salary'!D:D)</f>
        <v>200</v>
      </c>
      <c r="F156" s="14">
        <f>_xlfn.XLOOKUP($B156,'Average Salary'!$A:$A,'Average Salary'!E:E)</f>
        <v>626.75000000000011</v>
      </c>
    </row>
    <row r="157" spans="1:6" x14ac:dyDescent="0.35">
      <c r="A157" s="4" t="s">
        <v>29</v>
      </c>
      <c r="B157" s="4">
        <v>3</v>
      </c>
      <c r="C157" s="14">
        <f>_xlfn.XLOOKUP(B157,'Average Salary'!A:A,'Average Salary'!B:B)</f>
        <v>25070.000000000004</v>
      </c>
      <c r="D157" s="14">
        <f>_xlfn.XLOOKUP($B157,'Average Salary'!$A:$A,'Average Salary'!C:C)</f>
        <v>2530</v>
      </c>
      <c r="E157" s="14">
        <f>_xlfn.XLOOKUP($B157,'Average Salary'!$A:$A,'Average Salary'!D:D)</f>
        <v>200</v>
      </c>
      <c r="F157" s="14">
        <f>_xlfn.XLOOKUP($B157,'Average Salary'!$A:$A,'Average Salary'!E:E)</f>
        <v>626.75000000000011</v>
      </c>
    </row>
    <row r="158" spans="1:6" x14ac:dyDescent="0.35">
      <c r="A158" s="4" t="s">
        <v>29</v>
      </c>
      <c r="B158" s="4">
        <v>8</v>
      </c>
      <c r="C158" s="14">
        <f>_xlfn.XLOOKUP(B158,'Average Salary'!A:A,'Average Salary'!B:B)</f>
        <v>115927.90920000001</v>
      </c>
      <c r="D158" s="14">
        <f>_xlfn.XLOOKUP($B158,'Average Salary'!$A:$A,'Average Salary'!C:C)</f>
        <v>3530</v>
      </c>
      <c r="E158" s="14">
        <f>_xlfn.XLOOKUP($B158,'Average Salary'!$A:$A,'Average Salary'!D:D)</f>
        <v>200</v>
      </c>
      <c r="F158" s="14">
        <f>_xlfn.XLOOKUP($B158,'Average Salary'!$A:$A,'Average Salary'!E:E)</f>
        <v>2500</v>
      </c>
    </row>
    <row r="159" spans="1:6" x14ac:dyDescent="0.35">
      <c r="A159" s="4" t="s">
        <v>29</v>
      </c>
      <c r="B159" s="4">
        <v>5</v>
      </c>
      <c r="C159" s="14">
        <f>_xlfn.XLOOKUP(B159,'Average Salary'!A:A,'Average Salary'!B:B)</f>
        <v>42510</v>
      </c>
      <c r="D159" s="14">
        <f>_xlfn.XLOOKUP($B159,'Average Salary'!$A:$A,'Average Salary'!C:C)</f>
        <v>3530</v>
      </c>
      <c r="E159" s="14">
        <f>_xlfn.XLOOKUP($B159,'Average Salary'!$A:$A,'Average Salary'!D:D)</f>
        <v>200</v>
      </c>
      <c r="F159" s="14">
        <f>_xlfn.XLOOKUP($B159,'Average Salary'!$A:$A,'Average Salary'!E:E)</f>
        <v>1062.75</v>
      </c>
    </row>
    <row r="160" spans="1:6" x14ac:dyDescent="0.35">
      <c r="A160" s="4" t="s">
        <v>29</v>
      </c>
      <c r="B160" s="4">
        <v>8</v>
      </c>
      <c r="C160" s="14">
        <f>_xlfn.XLOOKUP(B160,'Average Salary'!A:A,'Average Salary'!B:B)</f>
        <v>115927.90920000001</v>
      </c>
      <c r="D160" s="14">
        <f>_xlfn.XLOOKUP($B160,'Average Salary'!$A:$A,'Average Salary'!C:C)</f>
        <v>3530</v>
      </c>
      <c r="E160" s="14">
        <f>_xlfn.XLOOKUP($B160,'Average Salary'!$A:$A,'Average Salary'!D:D)</f>
        <v>200</v>
      </c>
      <c r="F160" s="14">
        <f>_xlfn.XLOOKUP($B160,'Average Salary'!$A:$A,'Average Salary'!E:E)</f>
        <v>2500</v>
      </c>
    </row>
    <row r="161" spans="1:6" x14ac:dyDescent="0.35">
      <c r="A161" s="4" t="s">
        <v>29</v>
      </c>
      <c r="B161" s="4">
        <v>4</v>
      </c>
      <c r="C161" s="14">
        <f>_xlfn.XLOOKUP(B161,'Average Salary'!A:A,'Average Salary'!B:B)</f>
        <v>33790</v>
      </c>
      <c r="D161" s="14">
        <f>_xlfn.XLOOKUP($B161,'Average Salary'!$A:$A,'Average Salary'!C:C)</f>
        <v>3430</v>
      </c>
      <c r="E161" s="14">
        <f>_xlfn.XLOOKUP($B161,'Average Salary'!$A:$A,'Average Salary'!D:D)</f>
        <v>200</v>
      </c>
      <c r="F161" s="14">
        <f>_xlfn.XLOOKUP($B161,'Average Salary'!$A:$A,'Average Salary'!E:E)</f>
        <v>844.75</v>
      </c>
    </row>
    <row r="162" spans="1:6" x14ac:dyDescent="0.35">
      <c r="A162" s="4" t="s">
        <v>29</v>
      </c>
      <c r="B162" s="4">
        <v>3</v>
      </c>
      <c r="C162" s="14">
        <f>_xlfn.XLOOKUP(B162,'Average Salary'!A:A,'Average Salary'!B:B)</f>
        <v>25070.000000000004</v>
      </c>
      <c r="D162" s="14">
        <f>_xlfn.XLOOKUP($B162,'Average Salary'!$A:$A,'Average Salary'!C:C)</f>
        <v>2530</v>
      </c>
      <c r="E162" s="14">
        <f>_xlfn.XLOOKUP($B162,'Average Salary'!$A:$A,'Average Salary'!D:D)</f>
        <v>200</v>
      </c>
      <c r="F162" s="14">
        <f>_xlfn.XLOOKUP($B162,'Average Salary'!$A:$A,'Average Salary'!E:E)</f>
        <v>626.75000000000011</v>
      </c>
    </row>
    <row r="163" spans="1:6" x14ac:dyDescent="0.35">
      <c r="A163" s="4" t="s">
        <v>29</v>
      </c>
      <c r="B163" s="4">
        <v>6</v>
      </c>
      <c r="C163" s="14">
        <f>_xlfn.XLOOKUP(B163,'Average Salary'!A:A,'Average Salary'!B:B)</f>
        <v>62130.000000000007</v>
      </c>
      <c r="D163" s="14">
        <f>_xlfn.XLOOKUP($B163,'Average Salary'!$A:$A,'Average Salary'!C:C)</f>
        <v>3530</v>
      </c>
      <c r="E163" s="14">
        <f>_xlfn.XLOOKUP($B163,'Average Salary'!$A:$A,'Average Salary'!D:D)</f>
        <v>200</v>
      </c>
      <c r="F163" s="14">
        <f>_xlfn.XLOOKUP($B163,'Average Salary'!$A:$A,'Average Salary'!E:E)</f>
        <v>1553.2500000000002</v>
      </c>
    </row>
    <row r="164" spans="1:6" x14ac:dyDescent="0.35">
      <c r="A164" s="4" t="s">
        <v>29</v>
      </c>
      <c r="B164" s="4">
        <v>6</v>
      </c>
      <c r="C164" s="14">
        <f>_xlfn.XLOOKUP(B164,'Average Salary'!A:A,'Average Salary'!B:B)</f>
        <v>62130.000000000007</v>
      </c>
      <c r="D164" s="14">
        <f>_xlfn.XLOOKUP($B164,'Average Salary'!$A:$A,'Average Salary'!C:C)</f>
        <v>3530</v>
      </c>
      <c r="E164" s="14">
        <f>_xlfn.XLOOKUP($B164,'Average Salary'!$A:$A,'Average Salary'!D:D)</f>
        <v>200</v>
      </c>
      <c r="F164" s="14">
        <f>_xlfn.XLOOKUP($B164,'Average Salary'!$A:$A,'Average Salary'!E:E)</f>
        <v>1553.2500000000002</v>
      </c>
    </row>
    <row r="165" spans="1:6" x14ac:dyDescent="0.35">
      <c r="A165" s="4" t="s">
        <v>29</v>
      </c>
      <c r="B165" s="4">
        <v>10</v>
      </c>
      <c r="C165" s="14">
        <f>_xlfn.XLOOKUP(B165,'Average Salary'!A:A,'Average Salary'!B:B)</f>
        <v>361055.48698113207</v>
      </c>
      <c r="D165" s="14">
        <f>_xlfn.XLOOKUP($B165,'Average Salary'!$A:$A,'Average Salary'!C:C)</f>
        <v>3530</v>
      </c>
      <c r="E165" s="14">
        <f>_xlfn.XLOOKUP($B165,'Average Salary'!$A:$A,'Average Salary'!D:D)</f>
        <v>200</v>
      </c>
      <c r="F165" s="14">
        <f>_xlfn.XLOOKUP($B165,'Average Salary'!$A:$A,'Average Salary'!E:E)</f>
        <v>2500</v>
      </c>
    </row>
    <row r="166" spans="1:6" x14ac:dyDescent="0.35">
      <c r="A166" s="4" t="s">
        <v>29</v>
      </c>
      <c r="B166" s="4">
        <v>6</v>
      </c>
      <c r="C166" s="14">
        <f>_xlfn.XLOOKUP(B166,'Average Salary'!A:A,'Average Salary'!B:B)</f>
        <v>62130.000000000007</v>
      </c>
      <c r="D166" s="14">
        <f>_xlfn.XLOOKUP($B166,'Average Salary'!$A:$A,'Average Salary'!C:C)</f>
        <v>3530</v>
      </c>
      <c r="E166" s="14">
        <f>_xlfn.XLOOKUP($B166,'Average Salary'!$A:$A,'Average Salary'!D:D)</f>
        <v>200</v>
      </c>
      <c r="F166" s="14">
        <f>_xlfn.XLOOKUP($B166,'Average Salary'!$A:$A,'Average Salary'!E:E)</f>
        <v>1553.2500000000002</v>
      </c>
    </row>
    <row r="167" spans="1:6" x14ac:dyDescent="0.35">
      <c r="A167" s="4" t="s">
        <v>29</v>
      </c>
      <c r="B167" s="4">
        <v>6</v>
      </c>
      <c r="C167" s="14">
        <f>_xlfn.XLOOKUP(B167,'Average Salary'!A:A,'Average Salary'!B:B)</f>
        <v>62130.000000000007</v>
      </c>
      <c r="D167" s="14">
        <f>_xlfn.XLOOKUP($B167,'Average Salary'!$A:$A,'Average Salary'!C:C)</f>
        <v>3530</v>
      </c>
      <c r="E167" s="14">
        <f>_xlfn.XLOOKUP($B167,'Average Salary'!$A:$A,'Average Salary'!D:D)</f>
        <v>200</v>
      </c>
      <c r="F167" s="14">
        <f>_xlfn.XLOOKUP($B167,'Average Salary'!$A:$A,'Average Salary'!E:E)</f>
        <v>1553.2500000000002</v>
      </c>
    </row>
    <row r="168" spans="1:6" x14ac:dyDescent="0.35">
      <c r="A168" s="4" t="s">
        <v>29</v>
      </c>
      <c r="B168" s="4">
        <v>8</v>
      </c>
      <c r="C168" s="14">
        <f>_xlfn.XLOOKUP(B168,'Average Salary'!A:A,'Average Salary'!B:B)</f>
        <v>115927.90920000001</v>
      </c>
      <c r="D168" s="14">
        <f>_xlfn.XLOOKUP($B168,'Average Salary'!$A:$A,'Average Salary'!C:C)</f>
        <v>3530</v>
      </c>
      <c r="E168" s="14">
        <f>_xlfn.XLOOKUP($B168,'Average Salary'!$A:$A,'Average Salary'!D:D)</f>
        <v>200</v>
      </c>
      <c r="F168" s="14">
        <f>_xlfn.XLOOKUP($B168,'Average Salary'!$A:$A,'Average Salary'!E:E)</f>
        <v>2500</v>
      </c>
    </row>
    <row r="169" spans="1:6" x14ac:dyDescent="0.35">
      <c r="A169" s="4" t="s">
        <v>29</v>
      </c>
      <c r="B169" s="4">
        <v>3</v>
      </c>
      <c r="C169" s="14">
        <f>_xlfn.XLOOKUP(B169,'Average Salary'!A:A,'Average Salary'!B:B)</f>
        <v>25070.000000000004</v>
      </c>
      <c r="D169" s="14">
        <f>_xlfn.XLOOKUP($B169,'Average Salary'!$A:$A,'Average Salary'!C:C)</f>
        <v>2530</v>
      </c>
      <c r="E169" s="14">
        <f>_xlfn.XLOOKUP($B169,'Average Salary'!$A:$A,'Average Salary'!D:D)</f>
        <v>200</v>
      </c>
      <c r="F169" s="14">
        <f>_xlfn.XLOOKUP($B169,'Average Salary'!$A:$A,'Average Salary'!E:E)</f>
        <v>626.75000000000011</v>
      </c>
    </row>
    <row r="170" spans="1:6" x14ac:dyDescent="0.35">
      <c r="A170" s="4" t="s">
        <v>29</v>
      </c>
      <c r="B170" s="4">
        <v>5</v>
      </c>
      <c r="C170" s="14">
        <f>_xlfn.XLOOKUP(B170,'Average Salary'!A:A,'Average Salary'!B:B)</f>
        <v>42510</v>
      </c>
      <c r="D170" s="14">
        <f>_xlfn.XLOOKUP($B170,'Average Salary'!$A:$A,'Average Salary'!C:C)</f>
        <v>3530</v>
      </c>
      <c r="E170" s="14">
        <f>_xlfn.XLOOKUP($B170,'Average Salary'!$A:$A,'Average Salary'!D:D)</f>
        <v>200</v>
      </c>
      <c r="F170" s="14">
        <f>_xlfn.XLOOKUP($B170,'Average Salary'!$A:$A,'Average Salary'!E:E)</f>
        <v>1062.75</v>
      </c>
    </row>
    <row r="171" spans="1:6" x14ac:dyDescent="0.35">
      <c r="A171" s="4" t="s">
        <v>29</v>
      </c>
      <c r="B171" s="4">
        <v>7</v>
      </c>
      <c r="C171" s="14">
        <f>_xlfn.XLOOKUP(B171,'Average Salary'!A:A,'Average Salary'!B:B)</f>
        <v>78480</v>
      </c>
      <c r="D171" s="14">
        <f>_xlfn.XLOOKUP($B171,'Average Salary'!$A:$A,'Average Salary'!C:C)</f>
        <v>3530</v>
      </c>
      <c r="E171" s="14">
        <f>_xlfn.XLOOKUP($B171,'Average Salary'!$A:$A,'Average Salary'!D:D)</f>
        <v>200</v>
      </c>
      <c r="F171" s="14">
        <f>_xlfn.XLOOKUP($B171,'Average Salary'!$A:$A,'Average Salary'!E:E)</f>
        <v>1962</v>
      </c>
    </row>
    <row r="172" spans="1:6" x14ac:dyDescent="0.35">
      <c r="A172" s="4" t="s">
        <v>29</v>
      </c>
      <c r="B172" s="4">
        <v>7</v>
      </c>
      <c r="C172" s="14">
        <f>_xlfn.XLOOKUP(B172,'Average Salary'!A:A,'Average Salary'!B:B)</f>
        <v>78480</v>
      </c>
      <c r="D172" s="14">
        <f>_xlfn.XLOOKUP($B172,'Average Salary'!$A:$A,'Average Salary'!C:C)</f>
        <v>3530</v>
      </c>
      <c r="E172" s="14">
        <f>_xlfn.XLOOKUP($B172,'Average Salary'!$A:$A,'Average Salary'!D:D)</f>
        <v>200</v>
      </c>
      <c r="F172" s="14">
        <f>_xlfn.XLOOKUP($B172,'Average Salary'!$A:$A,'Average Salary'!E:E)</f>
        <v>1962</v>
      </c>
    </row>
    <row r="173" spans="1:6" x14ac:dyDescent="0.35">
      <c r="A173" s="4" t="s">
        <v>29</v>
      </c>
      <c r="B173" s="4">
        <v>7</v>
      </c>
      <c r="C173" s="14">
        <f>_xlfn.XLOOKUP(B173,'Average Salary'!A:A,'Average Salary'!B:B)</f>
        <v>78480</v>
      </c>
      <c r="D173" s="14">
        <f>_xlfn.XLOOKUP($B173,'Average Salary'!$A:$A,'Average Salary'!C:C)</f>
        <v>3530</v>
      </c>
      <c r="E173" s="14">
        <f>_xlfn.XLOOKUP($B173,'Average Salary'!$A:$A,'Average Salary'!D:D)</f>
        <v>200</v>
      </c>
      <c r="F173" s="14">
        <f>_xlfn.XLOOKUP($B173,'Average Salary'!$A:$A,'Average Salary'!E:E)</f>
        <v>1962</v>
      </c>
    </row>
    <row r="174" spans="1:6" x14ac:dyDescent="0.35">
      <c r="A174" s="4" t="s">
        <v>29</v>
      </c>
      <c r="B174" s="4">
        <v>10</v>
      </c>
      <c r="C174" s="14">
        <f>_xlfn.XLOOKUP(B174,'Average Salary'!A:A,'Average Salary'!B:B)</f>
        <v>361055.48698113207</v>
      </c>
      <c r="D174" s="14">
        <f>_xlfn.XLOOKUP($B174,'Average Salary'!$A:$A,'Average Salary'!C:C)</f>
        <v>3530</v>
      </c>
      <c r="E174" s="14">
        <f>_xlfn.XLOOKUP($B174,'Average Salary'!$A:$A,'Average Salary'!D:D)</f>
        <v>200</v>
      </c>
      <c r="F174" s="14">
        <f>_xlfn.XLOOKUP($B174,'Average Salary'!$A:$A,'Average Salary'!E:E)</f>
        <v>2500</v>
      </c>
    </row>
    <row r="175" spans="1:6" x14ac:dyDescent="0.35">
      <c r="A175" s="4" t="s">
        <v>29</v>
      </c>
      <c r="B175" s="4">
        <v>4</v>
      </c>
      <c r="C175" s="14">
        <f>_xlfn.XLOOKUP(B175,'Average Salary'!A:A,'Average Salary'!B:B)</f>
        <v>33790</v>
      </c>
      <c r="D175" s="14">
        <f>_xlfn.XLOOKUP($B175,'Average Salary'!$A:$A,'Average Salary'!C:C)</f>
        <v>3430</v>
      </c>
      <c r="E175" s="14">
        <f>_xlfn.XLOOKUP($B175,'Average Salary'!$A:$A,'Average Salary'!D:D)</f>
        <v>200</v>
      </c>
      <c r="F175" s="14">
        <f>_xlfn.XLOOKUP($B175,'Average Salary'!$A:$A,'Average Salary'!E:E)</f>
        <v>844.75</v>
      </c>
    </row>
    <row r="176" spans="1:6" x14ac:dyDescent="0.35">
      <c r="A176" s="4" t="s">
        <v>29</v>
      </c>
      <c r="B176" s="4">
        <v>5</v>
      </c>
      <c r="C176" s="14">
        <f>_xlfn.XLOOKUP(B176,'Average Salary'!A:A,'Average Salary'!B:B)</f>
        <v>42510</v>
      </c>
      <c r="D176" s="14">
        <f>_xlfn.XLOOKUP($B176,'Average Salary'!$A:$A,'Average Salary'!C:C)</f>
        <v>3530</v>
      </c>
      <c r="E176" s="14">
        <f>_xlfn.XLOOKUP($B176,'Average Salary'!$A:$A,'Average Salary'!D:D)</f>
        <v>200</v>
      </c>
      <c r="F176" s="14">
        <f>_xlfn.XLOOKUP($B176,'Average Salary'!$A:$A,'Average Salary'!E:E)</f>
        <v>1062.75</v>
      </c>
    </row>
    <row r="177" spans="1:6" x14ac:dyDescent="0.35">
      <c r="A177" s="4" t="s">
        <v>29</v>
      </c>
      <c r="B177" s="4">
        <v>11</v>
      </c>
      <c r="C177" s="14">
        <f>_xlfn.XLOOKUP(B177,'Average Salary'!A:A,'Average Salary'!B:B)</f>
        <v>500000</v>
      </c>
      <c r="D177" s="14">
        <f>_xlfn.XLOOKUP($B177,'Average Salary'!$A:$A,'Average Salary'!C:C)</f>
        <v>3530</v>
      </c>
      <c r="E177" s="14">
        <f>_xlfn.XLOOKUP($B177,'Average Salary'!$A:$A,'Average Salary'!D:D)</f>
        <v>200</v>
      </c>
      <c r="F177" s="14">
        <f>_xlfn.XLOOKUP($B177,'Average Salary'!$A:$A,'Average Salary'!E:E)</f>
        <v>2500</v>
      </c>
    </row>
    <row r="178" spans="1:6" x14ac:dyDescent="0.35">
      <c r="A178" s="4" t="s">
        <v>29</v>
      </c>
      <c r="B178" s="4">
        <v>4</v>
      </c>
      <c r="C178" s="14">
        <f>_xlfn.XLOOKUP(B178,'Average Salary'!A:A,'Average Salary'!B:B)</f>
        <v>33790</v>
      </c>
      <c r="D178" s="14">
        <f>_xlfn.XLOOKUP($B178,'Average Salary'!$A:$A,'Average Salary'!C:C)</f>
        <v>3430</v>
      </c>
      <c r="E178" s="14">
        <f>_xlfn.XLOOKUP($B178,'Average Salary'!$A:$A,'Average Salary'!D:D)</f>
        <v>200</v>
      </c>
      <c r="F178" s="14">
        <f>_xlfn.XLOOKUP($B178,'Average Salary'!$A:$A,'Average Salary'!E:E)</f>
        <v>844.75</v>
      </c>
    </row>
    <row r="179" spans="1:6" x14ac:dyDescent="0.35">
      <c r="A179" s="4" t="s">
        <v>29</v>
      </c>
      <c r="B179" s="4">
        <v>9</v>
      </c>
      <c r="C179" s="14">
        <f>_xlfn.XLOOKUP(B179,'Average Salary'!A:A,'Average Salary'!B:B)</f>
        <v>201377.50000000003</v>
      </c>
      <c r="D179" s="14">
        <f>_xlfn.XLOOKUP($B179,'Average Salary'!$A:$A,'Average Salary'!C:C)</f>
        <v>3530</v>
      </c>
      <c r="E179" s="14">
        <f>_xlfn.XLOOKUP($B179,'Average Salary'!$A:$A,'Average Salary'!D:D)</f>
        <v>200</v>
      </c>
      <c r="F179" s="14">
        <f>_xlfn.XLOOKUP($B179,'Average Salary'!$A:$A,'Average Salary'!E:E)</f>
        <v>2500</v>
      </c>
    </row>
    <row r="180" spans="1:6" x14ac:dyDescent="0.35">
      <c r="A180" s="4" t="s">
        <v>29</v>
      </c>
      <c r="B180" s="4">
        <v>10</v>
      </c>
      <c r="C180" s="14">
        <f>_xlfn.XLOOKUP(B180,'Average Salary'!A:A,'Average Salary'!B:B)</f>
        <v>361055.48698113207</v>
      </c>
      <c r="D180" s="14">
        <f>_xlfn.XLOOKUP($B180,'Average Salary'!$A:$A,'Average Salary'!C:C)</f>
        <v>3530</v>
      </c>
      <c r="E180" s="14">
        <f>_xlfn.XLOOKUP($B180,'Average Salary'!$A:$A,'Average Salary'!D:D)</f>
        <v>200</v>
      </c>
      <c r="F180" s="14">
        <f>_xlfn.XLOOKUP($B180,'Average Salary'!$A:$A,'Average Salary'!E:E)</f>
        <v>2500</v>
      </c>
    </row>
    <row r="181" spans="1:6" x14ac:dyDescent="0.35">
      <c r="A181" s="4" t="s">
        <v>29</v>
      </c>
      <c r="B181" s="4">
        <v>9</v>
      </c>
      <c r="C181" s="14">
        <f>_xlfn.XLOOKUP(B181,'Average Salary'!A:A,'Average Salary'!B:B)</f>
        <v>201377.50000000003</v>
      </c>
      <c r="D181" s="14">
        <f>_xlfn.XLOOKUP($B181,'Average Salary'!$A:$A,'Average Salary'!C:C)</f>
        <v>3530</v>
      </c>
      <c r="E181" s="14">
        <f>_xlfn.XLOOKUP($B181,'Average Salary'!$A:$A,'Average Salary'!D:D)</f>
        <v>200</v>
      </c>
      <c r="F181" s="14">
        <f>_xlfn.XLOOKUP($B181,'Average Salary'!$A:$A,'Average Salary'!E:E)</f>
        <v>2500</v>
      </c>
    </row>
    <row r="182" spans="1:6" x14ac:dyDescent="0.35">
      <c r="A182" s="4" t="s">
        <v>29</v>
      </c>
      <c r="B182" s="4">
        <v>4</v>
      </c>
      <c r="C182" s="14">
        <f>_xlfn.XLOOKUP(B182,'Average Salary'!A:A,'Average Salary'!B:B)</f>
        <v>33790</v>
      </c>
      <c r="D182" s="14">
        <f>_xlfn.XLOOKUP($B182,'Average Salary'!$A:$A,'Average Salary'!C:C)</f>
        <v>3430</v>
      </c>
      <c r="E182" s="14">
        <f>_xlfn.XLOOKUP($B182,'Average Salary'!$A:$A,'Average Salary'!D:D)</f>
        <v>200</v>
      </c>
      <c r="F182" s="14">
        <f>_xlfn.XLOOKUP($B182,'Average Salary'!$A:$A,'Average Salary'!E:E)</f>
        <v>844.75</v>
      </c>
    </row>
    <row r="183" spans="1:6" x14ac:dyDescent="0.35">
      <c r="A183" s="4" t="s">
        <v>39</v>
      </c>
      <c r="B183" s="4">
        <v>1</v>
      </c>
      <c r="C183" s="14">
        <f>_xlfn.XLOOKUP(B183,'Average Salary'!A:A,'Average Salary'!B:B)</f>
        <v>32379.409200000002</v>
      </c>
      <c r="D183" s="14">
        <f>_xlfn.XLOOKUP($B183,'Average Salary'!$A:$A,'Average Salary'!C:C)</f>
        <v>3280</v>
      </c>
      <c r="E183" s="14">
        <f>_xlfn.XLOOKUP($B183,'Average Salary'!$A:$A,'Average Salary'!D:D)</f>
        <v>200</v>
      </c>
      <c r="F183" s="14">
        <f>_xlfn.XLOOKUP($B183,'Average Salary'!$A:$A,'Average Salary'!E:E)</f>
        <v>809.48523000000012</v>
      </c>
    </row>
    <row r="184" spans="1:6" x14ac:dyDescent="0.35">
      <c r="A184" s="4" t="s">
        <v>39</v>
      </c>
      <c r="B184" s="4">
        <v>1</v>
      </c>
      <c r="C184" s="14">
        <f>_xlfn.XLOOKUP(B184,'Average Salary'!A:A,'Average Salary'!B:B)</f>
        <v>32379.409200000002</v>
      </c>
      <c r="D184" s="14">
        <f>_xlfn.XLOOKUP($B184,'Average Salary'!$A:$A,'Average Salary'!C:C)</f>
        <v>3280</v>
      </c>
      <c r="E184" s="14">
        <f>_xlfn.XLOOKUP($B184,'Average Salary'!$A:$A,'Average Salary'!D:D)</f>
        <v>200</v>
      </c>
      <c r="F184" s="14">
        <f>_xlfn.XLOOKUP($B184,'Average Salary'!$A:$A,'Average Salary'!E:E)</f>
        <v>809.48523000000012</v>
      </c>
    </row>
    <row r="185" spans="1:6" x14ac:dyDescent="0.35">
      <c r="A185" s="4" t="s">
        <v>29</v>
      </c>
      <c r="B185" s="4">
        <v>6</v>
      </c>
      <c r="C185" s="14">
        <f>_xlfn.XLOOKUP(B185,'Average Salary'!A:A,'Average Salary'!B:B)</f>
        <v>62130.000000000007</v>
      </c>
      <c r="D185" s="14">
        <f>_xlfn.XLOOKUP($B185,'Average Salary'!$A:$A,'Average Salary'!C:C)</f>
        <v>3530</v>
      </c>
      <c r="E185" s="14">
        <f>_xlfn.XLOOKUP($B185,'Average Salary'!$A:$A,'Average Salary'!D:D)</f>
        <v>200</v>
      </c>
      <c r="F185" s="14">
        <f>_xlfn.XLOOKUP($B185,'Average Salary'!$A:$A,'Average Salary'!E:E)</f>
        <v>1553.2500000000002</v>
      </c>
    </row>
    <row r="186" spans="1:6" x14ac:dyDescent="0.35">
      <c r="A186" s="4" t="s">
        <v>39</v>
      </c>
      <c r="B186" s="4">
        <v>1</v>
      </c>
      <c r="C186" s="14">
        <f>_xlfn.XLOOKUP(B186,'Average Salary'!A:A,'Average Salary'!B:B)</f>
        <v>32379.409200000002</v>
      </c>
      <c r="D186" s="14">
        <f>_xlfn.XLOOKUP($B186,'Average Salary'!$A:$A,'Average Salary'!C:C)</f>
        <v>3280</v>
      </c>
      <c r="E186" s="14">
        <f>_xlfn.XLOOKUP($B186,'Average Salary'!$A:$A,'Average Salary'!D:D)</f>
        <v>200</v>
      </c>
      <c r="F186" s="14">
        <f>_xlfn.XLOOKUP($B186,'Average Salary'!$A:$A,'Average Salary'!E:E)</f>
        <v>809.48523000000012</v>
      </c>
    </row>
    <row r="187" spans="1:6" x14ac:dyDescent="0.35">
      <c r="A187" s="4" t="s">
        <v>39</v>
      </c>
      <c r="B187" s="4">
        <v>1</v>
      </c>
      <c r="C187" s="14">
        <f>_xlfn.XLOOKUP(B187,'Average Salary'!A:A,'Average Salary'!B:B)</f>
        <v>32379.409200000002</v>
      </c>
      <c r="D187" s="14">
        <f>_xlfn.XLOOKUP($B187,'Average Salary'!$A:$A,'Average Salary'!C:C)</f>
        <v>3280</v>
      </c>
      <c r="E187" s="14">
        <f>_xlfn.XLOOKUP($B187,'Average Salary'!$A:$A,'Average Salary'!D:D)</f>
        <v>200</v>
      </c>
      <c r="F187" s="14">
        <f>_xlfn.XLOOKUP($B187,'Average Salary'!$A:$A,'Average Salary'!E:E)</f>
        <v>809.48523000000012</v>
      </c>
    </row>
    <row r="188" spans="1:6" x14ac:dyDescent="0.35">
      <c r="A188" s="4" t="s">
        <v>29</v>
      </c>
      <c r="B188" s="4">
        <v>4</v>
      </c>
      <c r="C188" s="14">
        <f>_xlfn.XLOOKUP(B188,'Average Salary'!A:A,'Average Salary'!B:B)</f>
        <v>33790</v>
      </c>
      <c r="D188" s="14">
        <f>_xlfn.XLOOKUP($B188,'Average Salary'!$A:$A,'Average Salary'!C:C)</f>
        <v>3430</v>
      </c>
      <c r="E188" s="14">
        <f>_xlfn.XLOOKUP($B188,'Average Salary'!$A:$A,'Average Salary'!D:D)</f>
        <v>200</v>
      </c>
      <c r="F188" s="14">
        <f>_xlfn.XLOOKUP($B188,'Average Salary'!$A:$A,'Average Salary'!E:E)</f>
        <v>844.75</v>
      </c>
    </row>
    <row r="189" spans="1:6" x14ac:dyDescent="0.35">
      <c r="A189" s="4" t="s">
        <v>29</v>
      </c>
      <c r="B189" s="4">
        <v>6</v>
      </c>
      <c r="C189" s="14">
        <f>_xlfn.XLOOKUP(B189,'Average Salary'!A:A,'Average Salary'!B:B)</f>
        <v>62130.000000000007</v>
      </c>
      <c r="D189" s="14">
        <f>_xlfn.XLOOKUP($B189,'Average Salary'!$A:$A,'Average Salary'!C:C)</f>
        <v>3530</v>
      </c>
      <c r="E189" s="14">
        <f>_xlfn.XLOOKUP($B189,'Average Salary'!$A:$A,'Average Salary'!D:D)</f>
        <v>200</v>
      </c>
      <c r="F189" s="14">
        <f>_xlfn.XLOOKUP($B189,'Average Salary'!$A:$A,'Average Salary'!E:E)</f>
        <v>1553.2500000000002</v>
      </c>
    </row>
    <row r="190" spans="1:6" x14ac:dyDescent="0.35">
      <c r="A190" s="4" t="s">
        <v>29</v>
      </c>
      <c r="B190" s="4">
        <v>5</v>
      </c>
      <c r="C190" s="14">
        <f>_xlfn.XLOOKUP(B190,'Average Salary'!A:A,'Average Salary'!B:B)</f>
        <v>42510</v>
      </c>
      <c r="D190" s="14">
        <f>_xlfn.XLOOKUP($B190,'Average Salary'!$A:$A,'Average Salary'!C:C)</f>
        <v>3530</v>
      </c>
      <c r="E190" s="14">
        <f>_xlfn.XLOOKUP($B190,'Average Salary'!$A:$A,'Average Salary'!D:D)</f>
        <v>200</v>
      </c>
      <c r="F190" s="14">
        <f>_xlfn.XLOOKUP($B190,'Average Salary'!$A:$A,'Average Salary'!E:E)</f>
        <v>1062.75</v>
      </c>
    </row>
    <row r="191" spans="1:6" x14ac:dyDescent="0.35">
      <c r="A191" s="4" t="s">
        <v>29</v>
      </c>
      <c r="B191" s="4">
        <v>3</v>
      </c>
      <c r="C191" s="14">
        <f>_xlfn.XLOOKUP(B191,'Average Salary'!A:A,'Average Salary'!B:B)</f>
        <v>25070.000000000004</v>
      </c>
      <c r="D191" s="14">
        <f>_xlfn.XLOOKUP($B191,'Average Salary'!$A:$A,'Average Salary'!C:C)</f>
        <v>2530</v>
      </c>
      <c r="E191" s="14">
        <f>_xlfn.XLOOKUP($B191,'Average Salary'!$A:$A,'Average Salary'!D:D)</f>
        <v>200</v>
      </c>
      <c r="F191" s="14">
        <f>_xlfn.XLOOKUP($B191,'Average Salary'!$A:$A,'Average Salary'!E:E)</f>
        <v>626.75000000000011</v>
      </c>
    </row>
    <row r="192" spans="1:6" x14ac:dyDescent="0.35">
      <c r="A192" s="4" t="s">
        <v>29</v>
      </c>
      <c r="B192" s="4">
        <v>11</v>
      </c>
      <c r="C192" s="14">
        <f>_xlfn.XLOOKUP(B192,'Average Salary'!A:A,'Average Salary'!B:B)</f>
        <v>500000</v>
      </c>
      <c r="D192" s="14">
        <f>_xlfn.XLOOKUP($B192,'Average Salary'!$A:$A,'Average Salary'!C:C)</f>
        <v>3530</v>
      </c>
      <c r="E192" s="14">
        <f>_xlfn.XLOOKUP($B192,'Average Salary'!$A:$A,'Average Salary'!D:D)</f>
        <v>200</v>
      </c>
      <c r="F192" s="14">
        <f>_xlfn.XLOOKUP($B192,'Average Salary'!$A:$A,'Average Salary'!E:E)</f>
        <v>2500</v>
      </c>
    </row>
    <row r="193" spans="1:6" x14ac:dyDescent="0.35">
      <c r="A193" s="4" t="s">
        <v>29</v>
      </c>
      <c r="B193" s="4">
        <v>4</v>
      </c>
      <c r="C193" s="14">
        <f>_xlfn.XLOOKUP(B193,'Average Salary'!A:A,'Average Salary'!B:B)</f>
        <v>33790</v>
      </c>
      <c r="D193" s="14">
        <f>_xlfn.XLOOKUP($B193,'Average Salary'!$A:$A,'Average Salary'!C:C)</f>
        <v>3430</v>
      </c>
      <c r="E193" s="14">
        <f>_xlfn.XLOOKUP($B193,'Average Salary'!$A:$A,'Average Salary'!D:D)</f>
        <v>200</v>
      </c>
      <c r="F193" s="14">
        <f>_xlfn.XLOOKUP($B193,'Average Salary'!$A:$A,'Average Salary'!E:E)</f>
        <v>844.75</v>
      </c>
    </row>
    <row r="194" spans="1:6" x14ac:dyDescent="0.35">
      <c r="A194" s="4" t="s">
        <v>29</v>
      </c>
      <c r="B194" s="4">
        <v>5</v>
      </c>
      <c r="C194" s="14">
        <f>_xlfn.XLOOKUP(B194,'Average Salary'!A:A,'Average Salary'!B:B)</f>
        <v>42510</v>
      </c>
      <c r="D194" s="14">
        <f>_xlfn.XLOOKUP($B194,'Average Salary'!$A:$A,'Average Salary'!C:C)</f>
        <v>3530</v>
      </c>
      <c r="E194" s="14">
        <f>_xlfn.XLOOKUP($B194,'Average Salary'!$A:$A,'Average Salary'!D:D)</f>
        <v>200</v>
      </c>
      <c r="F194" s="14">
        <f>_xlfn.XLOOKUP($B194,'Average Salary'!$A:$A,'Average Salary'!E:E)</f>
        <v>1062.75</v>
      </c>
    </row>
    <row r="195" spans="1:6" x14ac:dyDescent="0.35">
      <c r="A195" s="4" t="s">
        <v>29</v>
      </c>
      <c r="B195" s="4">
        <v>5</v>
      </c>
      <c r="C195" s="14">
        <f>_xlfn.XLOOKUP(B195,'Average Salary'!A:A,'Average Salary'!B:B)</f>
        <v>42510</v>
      </c>
      <c r="D195" s="14">
        <f>_xlfn.XLOOKUP($B195,'Average Salary'!$A:$A,'Average Salary'!C:C)</f>
        <v>3530</v>
      </c>
      <c r="E195" s="14">
        <f>_xlfn.XLOOKUP($B195,'Average Salary'!$A:$A,'Average Salary'!D:D)</f>
        <v>200</v>
      </c>
      <c r="F195" s="14">
        <f>_xlfn.XLOOKUP($B195,'Average Salary'!$A:$A,'Average Salary'!E:E)</f>
        <v>1062.75</v>
      </c>
    </row>
    <row r="196" spans="1:6" x14ac:dyDescent="0.35">
      <c r="A196" s="4" t="s">
        <v>29</v>
      </c>
      <c r="B196" s="4">
        <v>7</v>
      </c>
      <c r="C196" s="14">
        <f>_xlfn.XLOOKUP(B196,'Average Salary'!A:A,'Average Salary'!B:B)</f>
        <v>78480</v>
      </c>
      <c r="D196" s="14">
        <f>_xlfn.XLOOKUP($B196,'Average Salary'!$A:$A,'Average Salary'!C:C)</f>
        <v>3530</v>
      </c>
      <c r="E196" s="14">
        <f>_xlfn.XLOOKUP($B196,'Average Salary'!$A:$A,'Average Salary'!D:D)</f>
        <v>200</v>
      </c>
      <c r="F196" s="14">
        <f>_xlfn.XLOOKUP($B196,'Average Salary'!$A:$A,'Average Salary'!E:E)</f>
        <v>1962</v>
      </c>
    </row>
    <row r="197" spans="1:6" x14ac:dyDescent="0.35">
      <c r="A197" s="4" t="s">
        <v>29</v>
      </c>
      <c r="B197" s="4">
        <v>4</v>
      </c>
      <c r="C197" s="14">
        <f>_xlfn.XLOOKUP(B197,'Average Salary'!A:A,'Average Salary'!B:B)</f>
        <v>33790</v>
      </c>
      <c r="D197" s="14">
        <f>_xlfn.XLOOKUP($B197,'Average Salary'!$A:$A,'Average Salary'!C:C)</f>
        <v>3430</v>
      </c>
      <c r="E197" s="14">
        <f>_xlfn.XLOOKUP($B197,'Average Salary'!$A:$A,'Average Salary'!D:D)</f>
        <v>200</v>
      </c>
      <c r="F197" s="14">
        <f>_xlfn.XLOOKUP($B197,'Average Salary'!$A:$A,'Average Salary'!E:E)</f>
        <v>844.75</v>
      </c>
    </row>
    <row r="198" spans="1:6" x14ac:dyDescent="0.35">
      <c r="A198" s="4" t="s">
        <v>29</v>
      </c>
      <c r="B198" s="4">
        <v>10</v>
      </c>
      <c r="C198" s="14">
        <f>_xlfn.XLOOKUP(B198,'Average Salary'!A:A,'Average Salary'!B:B)</f>
        <v>361055.48698113207</v>
      </c>
      <c r="D198" s="14">
        <f>_xlfn.XLOOKUP($B198,'Average Salary'!$A:$A,'Average Salary'!C:C)</f>
        <v>3530</v>
      </c>
      <c r="E198" s="14">
        <f>_xlfn.XLOOKUP($B198,'Average Salary'!$A:$A,'Average Salary'!D:D)</f>
        <v>200</v>
      </c>
      <c r="F198" s="14">
        <f>_xlfn.XLOOKUP($B198,'Average Salary'!$A:$A,'Average Salary'!E:E)</f>
        <v>2500</v>
      </c>
    </row>
    <row r="199" spans="1:6" x14ac:dyDescent="0.35">
      <c r="A199" s="4" t="s">
        <v>29</v>
      </c>
      <c r="B199" s="4">
        <v>5</v>
      </c>
      <c r="C199" s="14">
        <f>_xlfn.XLOOKUP(B199,'Average Salary'!A:A,'Average Salary'!B:B)</f>
        <v>42510</v>
      </c>
      <c r="D199" s="14">
        <f>_xlfn.XLOOKUP($B199,'Average Salary'!$A:$A,'Average Salary'!C:C)</f>
        <v>3530</v>
      </c>
      <c r="E199" s="14">
        <f>_xlfn.XLOOKUP($B199,'Average Salary'!$A:$A,'Average Salary'!D:D)</f>
        <v>200</v>
      </c>
      <c r="F199" s="14">
        <f>_xlfn.XLOOKUP($B199,'Average Salary'!$A:$A,'Average Salary'!E:E)</f>
        <v>1062.75</v>
      </c>
    </row>
    <row r="200" spans="1:6" x14ac:dyDescent="0.35">
      <c r="A200" s="4" t="s">
        <v>29</v>
      </c>
      <c r="B200" s="4">
        <v>3</v>
      </c>
      <c r="C200" s="14">
        <f>_xlfn.XLOOKUP(B200,'Average Salary'!A:A,'Average Salary'!B:B)</f>
        <v>25070.000000000004</v>
      </c>
      <c r="D200" s="14">
        <f>_xlfn.XLOOKUP($B200,'Average Salary'!$A:$A,'Average Salary'!C:C)</f>
        <v>2530</v>
      </c>
      <c r="E200" s="14">
        <f>_xlfn.XLOOKUP($B200,'Average Salary'!$A:$A,'Average Salary'!D:D)</f>
        <v>200</v>
      </c>
      <c r="F200" s="14">
        <f>_xlfn.XLOOKUP($B200,'Average Salary'!$A:$A,'Average Salary'!E:E)</f>
        <v>626.75000000000011</v>
      </c>
    </row>
    <row r="201" spans="1:6" x14ac:dyDescent="0.35">
      <c r="A201" s="4" t="s">
        <v>29</v>
      </c>
      <c r="B201" s="4">
        <v>8</v>
      </c>
      <c r="C201" s="14">
        <f>_xlfn.XLOOKUP(B201,'Average Salary'!A:A,'Average Salary'!B:B)</f>
        <v>115927.90920000001</v>
      </c>
      <c r="D201" s="14">
        <f>_xlfn.XLOOKUP($B201,'Average Salary'!$A:$A,'Average Salary'!C:C)</f>
        <v>3530</v>
      </c>
      <c r="E201" s="14">
        <f>_xlfn.XLOOKUP($B201,'Average Salary'!$A:$A,'Average Salary'!D:D)</f>
        <v>200</v>
      </c>
      <c r="F201" s="14">
        <f>_xlfn.XLOOKUP($B201,'Average Salary'!$A:$A,'Average Salary'!E:E)</f>
        <v>2500</v>
      </c>
    </row>
    <row r="202" spans="1:6" x14ac:dyDescent="0.35">
      <c r="A202" s="4" t="s">
        <v>29</v>
      </c>
      <c r="B202" s="4">
        <v>8</v>
      </c>
      <c r="C202" s="14">
        <f>_xlfn.XLOOKUP(B202,'Average Salary'!A:A,'Average Salary'!B:B)</f>
        <v>115927.90920000001</v>
      </c>
      <c r="D202" s="14">
        <f>_xlfn.XLOOKUP($B202,'Average Salary'!$A:$A,'Average Salary'!C:C)</f>
        <v>3530</v>
      </c>
      <c r="E202" s="14">
        <f>_xlfn.XLOOKUP($B202,'Average Salary'!$A:$A,'Average Salary'!D:D)</f>
        <v>200</v>
      </c>
      <c r="F202" s="14">
        <f>_xlfn.XLOOKUP($B202,'Average Salary'!$A:$A,'Average Salary'!E:E)</f>
        <v>2500</v>
      </c>
    </row>
    <row r="203" spans="1:6" x14ac:dyDescent="0.35">
      <c r="A203" s="4" t="s">
        <v>29</v>
      </c>
      <c r="B203" s="4">
        <v>7</v>
      </c>
      <c r="C203" s="14">
        <f>_xlfn.XLOOKUP(B203,'Average Salary'!A:A,'Average Salary'!B:B)</f>
        <v>78480</v>
      </c>
      <c r="D203" s="14">
        <f>_xlfn.XLOOKUP($B203,'Average Salary'!$A:$A,'Average Salary'!C:C)</f>
        <v>3530</v>
      </c>
      <c r="E203" s="14">
        <f>_xlfn.XLOOKUP($B203,'Average Salary'!$A:$A,'Average Salary'!D:D)</f>
        <v>200</v>
      </c>
      <c r="F203" s="14">
        <f>_xlfn.XLOOKUP($B203,'Average Salary'!$A:$A,'Average Salary'!E:E)</f>
        <v>1962</v>
      </c>
    </row>
    <row r="204" spans="1:6" x14ac:dyDescent="0.35">
      <c r="A204" s="4" t="s">
        <v>29</v>
      </c>
      <c r="B204" s="4">
        <v>7</v>
      </c>
      <c r="C204" s="14">
        <f>_xlfn.XLOOKUP(B204,'Average Salary'!A:A,'Average Salary'!B:B)</f>
        <v>78480</v>
      </c>
      <c r="D204" s="14">
        <f>_xlfn.XLOOKUP($B204,'Average Salary'!$A:$A,'Average Salary'!C:C)</f>
        <v>3530</v>
      </c>
      <c r="E204" s="14">
        <f>_xlfn.XLOOKUP($B204,'Average Salary'!$A:$A,'Average Salary'!D:D)</f>
        <v>200</v>
      </c>
      <c r="F204" s="14">
        <f>_xlfn.XLOOKUP($B204,'Average Salary'!$A:$A,'Average Salary'!E:E)</f>
        <v>1962</v>
      </c>
    </row>
    <row r="205" spans="1:6" x14ac:dyDescent="0.35">
      <c r="A205" s="4" t="s">
        <v>29</v>
      </c>
      <c r="B205" s="4">
        <v>6</v>
      </c>
      <c r="C205" s="14">
        <f>_xlfn.XLOOKUP(B205,'Average Salary'!A:A,'Average Salary'!B:B)</f>
        <v>62130.000000000007</v>
      </c>
      <c r="D205" s="14">
        <f>_xlfn.XLOOKUP($B205,'Average Salary'!$A:$A,'Average Salary'!C:C)</f>
        <v>3530</v>
      </c>
      <c r="E205" s="14">
        <f>_xlfn.XLOOKUP($B205,'Average Salary'!$A:$A,'Average Salary'!D:D)</f>
        <v>200</v>
      </c>
      <c r="F205" s="14">
        <f>_xlfn.XLOOKUP($B205,'Average Salary'!$A:$A,'Average Salary'!E:E)</f>
        <v>1553.2500000000002</v>
      </c>
    </row>
    <row r="206" spans="1:6" x14ac:dyDescent="0.35">
      <c r="A206" s="4" t="s">
        <v>29</v>
      </c>
      <c r="B206" s="4">
        <v>3</v>
      </c>
      <c r="C206" s="14">
        <f>_xlfn.XLOOKUP(B206,'Average Salary'!A:A,'Average Salary'!B:B)</f>
        <v>25070.000000000004</v>
      </c>
      <c r="D206" s="14">
        <f>_xlfn.XLOOKUP($B206,'Average Salary'!$A:$A,'Average Salary'!C:C)</f>
        <v>2530</v>
      </c>
      <c r="E206" s="14">
        <f>_xlfn.XLOOKUP($B206,'Average Salary'!$A:$A,'Average Salary'!D:D)</f>
        <v>200</v>
      </c>
      <c r="F206" s="14">
        <f>_xlfn.XLOOKUP($B206,'Average Salary'!$A:$A,'Average Salary'!E:E)</f>
        <v>626.75000000000011</v>
      </c>
    </row>
    <row r="207" spans="1:6" x14ac:dyDescent="0.35">
      <c r="A207" s="4" t="s">
        <v>29</v>
      </c>
      <c r="B207" s="4">
        <v>8</v>
      </c>
      <c r="C207" s="14">
        <f>_xlfn.XLOOKUP(B207,'Average Salary'!A:A,'Average Salary'!B:B)</f>
        <v>115927.90920000001</v>
      </c>
      <c r="D207" s="14">
        <f>_xlfn.XLOOKUP($B207,'Average Salary'!$A:$A,'Average Salary'!C:C)</f>
        <v>3530</v>
      </c>
      <c r="E207" s="14">
        <f>_xlfn.XLOOKUP($B207,'Average Salary'!$A:$A,'Average Salary'!D:D)</f>
        <v>200</v>
      </c>
      <c r="F207" s="14">
        <f>_xlfn.XLOOKUP($B207,'Average Salary'!$A:$A,'Average Salary'!E:E)</f>
        <v>2500</v>
      </c>
    </row>
    <row r="208" spans="1:6" x14ac:dyDescent="0.35">
      <c r="A208" s="4" t="s">
        <v>29</v>
      </c>
      <c r="B208" s="4">
        <v>6</v>
      </c>
      <c r="C208" s="14">
        <f>_xlfn.XLOOKUP(B208,'Average Salary'!A:A,'Average Salary'!B:B)</f>
        <v>62130.000000000007</v>
      </c>
      <c r="D208" s="14">
        <f>_xlfn.XLOOKUP($B208,'Average Salary'!$A:$A,'Average Salary'!C:C)</f>
        <v>3530</v>
      </c>
      <c r="E208" s="14">
        <f>_xlfn.XLOOKUP($B208,'Average Salary'!$A:$A,'Average Salary'!D:D)</f>
        <v>200</v>
      </c>
      <c r="F208" s="14">
        <f>_xlfn.XLOOKUP($B208,'Average Salary'!$A:$A,'Average Salary'!E:E)</f>
        <v>1553.2500000000002</v>
      </c>
    </row>
    <row r="209" spans="1:6" x14ac:dyDescent="0.35">
      <c r="A209" s="4" t="s">
        <v>29</v>
      </c>
      <c r="B209" s="4">
        <v>6</v>
      </c>
      <c r="C209" s="14">
        <f>_xlfn.XLOOKUP(B209,'Average Salary'!A:A,'Average Salary'!B:B)</f>
        <v>62130.000000000007</v>
      </c>
      <c r="D209" s="14">
        <f>_xlfn.XLOOKUP($B209,'Average Salary'!$A:$A,'Average Salary'!C:C)</f>
        <v>3530</v>
      </c>
      <c r="E209" s="14">
        <f>_xlfn.XLOOKUP($B209,'Average Salary'!$A:$A,'Average Salary'!D:D)</f>
        <v>200</v>
      </c>
      <c r="F209" s="14">
        <f>_xlfn.XLOOKUP($B209,'Average Salary'!$A:$A,'Average Salary'!E:E)</f>
        <v>1553.2500000000002</v>
      </c>
    </row>
    <row r="210" spans="1:6" x14ac:dyDescent="0.35">
      <c r="A210" s="4" t="s">
        <v>29</v>
      </c>
      <c r="B210" s="4">
        <v>7</v>
      </c>
      <c r="C210" s="14">
        <f>_xlfn.XLOOKUP(B210,'Average Salary'!A:A,'Average Salary'!B:B)</f>
        <v>78480</v>
      </c>
      <c r="D210" s="14">
        <f>_xlfn.XLOOKUP($B210,'Average Salary'!$A:$A,'Average Salary'!C:C)</f>
        <v>3530</v>
      </c>
      <c r="E210" s="14">
        <f>_xlfn.XLOOKUP($B210,'Average Salary'!$A:$A,'Average Salary'!D:D)</f>
        <v>200</v>
      </c>
      <c r="F210" s="14">
        <f>_xlfn.XLOOKUP($B210,'Average Salary'!$A:$A,'Average Salary'!E:E)</f>
        <v>1962</v>
      </c>
    </row>
    <row r="211" spans="1:6" x14ac:dyDescent="0.35">
      <c r="A211" s="4" t="s">
        <v>29</v>
      </c>
      <c r="B211" s="4">
        <v>5</v>
      </c>
      <c r="C211" s="14">
        <f>_xlfn.XLOOKUP(B211,'Average Salary'!A:A,'Average Salary'!B:B)</f>
        <v>42510</v>
      </c>
      <c r="D211" s="14">
        <f>_xlfn.XLOOKUP($B211,'Average Salary'!$A:$A,'Average Salary'!C:C)</f>
        <v>3530</v>
      </c>
      <c r="E211" s="14">
        <f>_xlfn.XLOOKUP($B211,'Average Salary'!$A:$A,'Average Salary'!D:D)</f>
        <v>200</v>
      </c>
      <c r="F211" s="14">
        <f>_xlfn.XLOOKUP($B211,'Average Salary'!$A:$A,'Average Salary'!E:E)</f>
        <v>1062.75</v>
      </c>
    </row>
    <row r="212" spans="1:6" x14ac:dyDescent="0.35">
      <c r="A212" s="4" t="s">
        <v>29</v>
      </c>
      <c r="B212" s="4">
        <v>7</v>
      </c>
      <c r="C212" s="14">
        <f>_xlfn.XLOOKUP(B212,'Average Salary'!A:A,'Average Salary'!B:B)</f>
        <v>78480</v>
      </c>
      <c r="D212" s="14">
        <f>_xlfn.XLOOKUP($B212,'Average Salary'!$A:$A,'Average Salary'!C:C)</f>
        <v>3530</v>
      </c>
      <c r="E212" s="14">
        <f>_xlfn.XLOOKUP($B212,'Average Salary'!$A:$A,'Average Salary'!D:D)</f>
        <v>200</v>
      </c>
      <c r="F212" s="14">
        <f>_xlfn.XLOOKUP($B212,'Average Salary'!$A:$A,'Average Salary'!E:E)</f>
        <v>1962</v>
      </c>
    </row>
    <row r="213" spans="1:6" x14ac:dyDescent="0.35">
      <c r="A213" s="4" t="s">
        <v>29</v>
      </c>
      <c r="B213" s="4">
        <v>6</v>
      </c>
      <c r="C213" s="14">
        <f>_xlfn.XLOOKUP(B213,'Average Salary'!A:A,'Average Salary'!B:B)</f>
        <v>62130.000000000007</v>
      </c>
      <c r="D213" s="14">
        <f>_xlfn.XLOOKUP($B213,'Average Salary'!$A:$A,'Average Salary'!C:C)</f>
        <v>3530</v>
      </c>
      <c r="E213" s="14">
        <f>_xlfn.XLOOKUP($B213,'Average Salary'!$A:$A,'Average Salary'!D:D)</f>
        <v>200</v>
      </c>
      <c r="F213" s="14">
        <f>_xlfn.XLOOKUP($B213,'Average Salary'!$A:$A,'Average Salary'!E:E)</f>
        <v>1553.2500000000002</v>
      </c>
    </row>
    <row r="214" spans="1:6" x14ac:dyDescent="0.35">
      <c r="A214" s="4" t="s">
        <v>29</v>
      </c>
      <c r="B214" s="4">
        <v>8</v>
      </c>
      <c r="C214" s="14">
        <f>_xlfn.XLOOKUP(B214,'Average Salary'!A:A,'Average Salary'!B:B)</f>
        <v>115927.90920000001</v>
      </c>
      <c r="D214" s="14">
        <f>_xlfn.XLOOKUP($B214,'Average Salary'!$A:$A,'Average Salary'!C:C)</f>
        <v>3530</v>
      </c>
      <c r="E214" s="14">
        <f>_xlfn.XLOOKUP($B214,'Average Salary'!$A:$A,'Average Salary'!D:D)</f>
        <v>200</v>
      </c>
      <c r="F214" s="14">
        <f>_xlfn.XLOOKUP($B214,'Average Salary'!$A:$A,'Average Salary'!E:E)</f>
        <v>2500</v>
      </c>
    </row>
    <row r="215" spans="1:6" x14ac:dyDescent="0.35">
      <c r="A215" s="4" t="s">
        <v>29</v>
      </c>
      <c r="B215" s="4">
        <v>4</v>
      </c>
      <c r="C215" s="14">
        <f>_xlfn.XLOOKUP(B215,'Average Salary'!A:A,'Average Salary'!B:B)</f>
        <v>33790</v>
      </c>
      <c r="D215" s="14">
        <f>_xlfn.XLOOKUP($B215,'Average Salary'!$A:$A,'Average Salary'!C:C)</f>
        <v>3430</v>
      </c>
      <c r="E215" s="14">
        <f>_xlfn.XLOOKUP($B215,'Average Salary'!$A:$A,'Average Salary'!D:D)</f>
        <v>200</v>
      </c>
      <c r="F215" s="14">
        <f>_xlfn.XLOOKUP($B215,'Average Salary'!$A:$A,'Average Salary'!E:E)</f>
        <v>844.75</v>
      </c>
    </row>
    <row r="216" spans="1:6" x14ac:dyDescent="0.35">
      <c r="A216" s="4" t="s">
        <v>29</v>
      </c>
      <c r="B216" s="4">
        <v>9</v>
      </c>
      <c r="C216" s="14">
        <f>_xlfn.XLOOKUP(B216,'Average Salary'!A:A,'Average Salary'!B:B)</f>
        <v>201377.50000000003</v>
      </c>
      <c r="D216" s="14">
        <f>_xlfn.XLOOKUP($B216,'Average Salary'!$A:$A,'Average Salary'!C:C)</f>
        <v>3530</v>
      </c>
      <c r="E216" s="14">
        <f>_xlfn.XLOOKUP($B216,'Average Salary'!$A:$A,'Average Salary'!D:D)</f>
        <v>200</v>
      </c>
      <c r="F216" s="14">
        <f>_xlfn.XLOOKUP($B216,'Average Salary'!$A:$A,'Average Salary'!E:E)</f>
        <v>2500</v>
      </c>
    </row>
    <row r="217" spans="1:6" x14ac:dyDescent="0.35">
      <c r="A217" s="4" t="s">
        <v>29</v>
      </c>
      <c r="B217" s="4">
        <v>11</v>
      </c>
      <c r="C217" s="14">
        <f>_xlfn.XLOOKUP(B217,'Average Salary'!A:A,'Average Salary'!B:B)</f>
        <v>500000</v>
      </c>
      <c r="D217" s="14">
        <f>_xlfn.XLOOKUP($B217,'Average Salary'!$A:$A,'Average Salary'!C:C)</f>
        <v>3530</v>
      </c>
      <c r="E217" s="14">
        <f>_xlfn.XLOOKUP($B217,'Average Salary'!$A:$A,'Average Salary'!D:D)</f>
        <v>200</v>
      </c>
      <c r="F217" s="14">
        <f>_xlfn.XLOOKUP($B217,'Average Salary'!$A:$A,'Average Salary'!E:E)</f>
        <v>2500</v>
      </c>
    </row>
    <row r="218" spans="1:6" x14ac:dyDescent="0.35">
      <c r="A218" s="4" t="s">
        <v>29</v>
      </c>
      <c r="B218" s="4">
        <v>6</v>
      </c>
      <c r="C218" s="14">
        <f>_xlfn.XLOOKUP(B218,'Average Salary'!A:A,'Average Salary'!B:B)</f>
        <v>62130.000000000007</v>
      </c>
      <c r="D218" s="14">
        <f>_xlfn.XLOOKUP($B218,'Average Salary'!$A:$A,'Average Salary'!C:C)</f>
        <v>3530</v>
      </c>
      <c r="E218" s="14">
        <f>_xlfn.XLOOKUP($B218,'Average Salary'!$A:$A,'Average Salary'!D:D)</f>
        <v>200</v>
      </c>
      <c r="F218" s="14">
        <f>_xlfn.XLOOKUP($B218,'Average Salary'!$A:$A,'Average Salary'!E:E)</f>
        <v>1553.2500000000002</v>
      </c>
    </row>
    <row r="219" spans="1:6" x14ac:dyDescent="0.35">
      <c r="A219" s="4" t="s">
        <v>29</v>
      </c>
      <c r="B219" s="4">
        <v>3</v>
      </c>
      <c r="C219" s="14">
        <f>_xlfn.XLOOKUP(B219,'Average Salary'!A:A,'Average Salary'!B:B)</f>
        <v>25070.000000000004</v>
      </c>
      <c r="D219" s="14">
        <f>_xlfn.XLOOKUP($B219,'Average Salary'!$A:$A,'Average Salary'!C:C)</f>
        <v>2530</v>
      </c>
      <c r="E219" s="14">
        <f>_xlfn.XLOOKUP($B219,'Average Salary'!$A:$A,'Average Salary'!D:D)</f>
        <v>200</v>
      </c>
      <c r="F219" s="14">
        <f>_xlfn.XLOOKUP($B219,'Average Salary'!$A:$A,'Average Salary'!E:E)</f>
        <v>626.75000000000011</v>
      </c>
    </row>
    <row r="220" spans="1:6" x14ac:dyDescent="0.35">
      <c r="A220" s="4" t="s">
        <v>29</v>
      </c>
      <c r="B220" s="4">
        <v>4</v>
      </c>
      <c r="C220" s="14">
        <f>_xlfn.XLOOKUP(B220,'Average Salary'!A:A,'Average Salary'!B:B)</f>
        <v>33790</v>
      </c>
      <c r="D220" s="14">
        <f>_xlfn.XLOOKUP($B220,'Average Salary'!$A:$A,'Average Salary'!C:C)</f>
        <v>3430</v>
      </c>
      <c r="E220" s="14">
        <f>_xlfn.XLOOKUP($B220,'Average Salary'!$A:$A,'Average Salary'!D:D)</f>
        <v>200</v>
      </c>
      <c r="F220" s="14">
        <f>_xlfn.XLOOKUP($B220,'Average Salary'!$A:$A,'Average Salary'!E:E)</f>
        <v>844.75</v>
      </c>
    </row>
    <row r="221" spans="1:6" x14ac:dyDescent="0.35">
      <c r="A221" s="4" t="s">
        <v>29</v>
      </c>
      <c r="B221" s="4">
        <v>3</v>
      </c>
      <c r="C221" s="14">
        <f>_xlfn.XLOOKUP(B221,'Average Salary'!A:A,'Average Salary'!B:B)</f>
        <v>25070.000000000004</v>
      </c>
      <c r="D221" s="14">
        <f>_xlfn.XLOOKUP($B221,'Average Salary'!$A:$A,'Average Salary'!C:C)</f>
        <v>2530</v>
      </c>
      <c r="E221" s="14">
        <f>_xlfn.XLOOKUP($B221,'Average Salary'!$A:$A,'Average Salary'!D:D)</f>
        <v>200</v>
      </c>
      <c r="F221" s="14">
        <f>_xlfn.XLOOKUP($B221,'Average Salary'!$A:$A,'Average Salary'!E:E)</f>
        <v>626.75000000000011</v>
      </c>
    </row>
    <row r="222" spans="1:6" x14ac:dyDescent="0.35">
      <c r="A222" s="4" t="s">
        <v>29</v>
      </c>
      <c r="B222" s="4">
        <v>11</v>
      </c>
      <c r="C222" s="14">
        <f>_xlfn.XLOOKUP(B222,'Average Salary'!A:A,'Average Salary'!B:B)</f>
        <v>500000</v>
      </c>
      <c r="D222" s="14">
        <f>_xlfn.XLOOKUP($B222,'Average Salary'!$A:$A,'Average Salary'!C:C)</f>
        <v>3530</v>
      </c>
      <c r="E222" s="14">
        <f>_xlfn.XLOOKUP($B222,'Average Salary'!$A:$A,'Average Salary'!D:D)</f>
        <v>200</v>
      </c>
      <c r="F222" s="14">
        <f>_xlfn.XLOOKUP($B222,'Average Salary'!$A:$A,'Average Salary'!E:E)</f>
        <v>2500</v>
      </c>
    </row>
    <row r="223" spans="1:6" x14ac:dyDescent="0.35">
      <c r="A223" s="4" t="s">
        <v>29</v>
      </c>
      <c r="B223" s="4">
        <v>5</v>
      </c>
      <c r="C223" s="14">
        <f>_xlfn.XLOOKUP(B223,'Average Salary'!A:A,'Average Salary'!B:B)</f>
        <v>42510</v>
      </c>
      <c r="D223" s="14">
        <f>_xlfn.XLOOKUP($B223,'Average Salary'!$A:$A,'Average Salary'!C:C)</f>
        <v>3530</v>
      </c>
      <c r="E223" s="14">
        <f>_xlfn.XLOOKUP($B223,'Average Salary'!$A:$A,'Average Salary'!D:D)</f>
        <v>200</v>
      </c>
      <c r="F223" s="14">
        <f>_xlfn.XLOOKUP($B223,'Average Salary'!$A:$A,'Average Salary'!E:E)</f>
        <v>1062.75</v>
      </c>
    </row>
    <row r="224" spans="1:6" x14ac:dyDescent="0.35">
      <c r="A224" s="4" t="s">
        <v>29</v>
      </c>
      <c r="B224" s="4">
        <v>8</v>
      </c>
      <c r="C224" s="14">
        <f>_xlfn.XLOOKUP(B224,'Average Salary'!A:A,'Average Salary'!B:B)</f>
        <v>115927.90920000001</v>
      </c>
      <c r="D224" s="14">
        <f>_xlfn.XLOOKUP($B224,'Average Salary'!$A:$A,'Average Salary'!C:C)</f>
        <v>3530</v>
      </c>
      <c r="E224" s="14">
        <f>_xlfn.XLOOKUP($B224,'Average Salary'!$A:$A,'Average Salary'!D:D)</f>
        <v>200</v>
      </c>
      <c r="F224" s="14">
        <f>_xlfn.XLOOKUP($B224,'Average Salary'!$A:$A,'Average Salary'!E:E)</f>
        <v>2500</v>
      </c>
    </row>
    <row r="225" spans="1:6" x14ac:dyDescent="0.35">
      <c r="A225" s="4" t="s">
        <v>29</v>
      </c>
      <c r="B225" s="4">
        <v>5</v>
      </c>
      <c r="C225" s="14">
        <f>_xlfn.XLOOKUP(B225,'Average Salary'!A:A,'Average Salary'!B:B)</f>
        <v>42510</v>
      </c>
      <c r="D225" s="14">
        <f>_xlfn.XLOOKUP($B225,'Average Salary'!$A:$A,'Average Salary'!C:C)</f>
        <v>3530</v>
      </c>
      <c r="E225" s="14">
        <f>_xlfn.XLOOKUP($B225,'Average Salary'!$A:$A,'Average Salary'!D:D)</f>
        <v>200</v>
      </c>
      <c r="F225" s="14">
        <f>_xlfn.XLOOKUP($B225,'Average Salary'!$A:$A,'Average Salary'!E:E)</f>
        <v>1062.75</v>
      </c>
    </row>
    <row r="226" spans="1:6" x14ac:dyDescent="0.35">
      <c r="A226" s="4" t="s">
        <v>29</v>
      </c>
      <c r="B226" s="4">
        <v>9</v>
      </c>
      <c r="C226" s="14">
        <f>_xlfn.XLOOKUP(B226,'Average Salary'!A:A,'Average Salary'!B:B)</f>
        <v>201377.50000000003</v>
      </c>
      <c r="D226" s="14">
        <f>_xlfn.XLOOKUP($B226,'Average Salary'!$A:$A,'Average Salary'!C:C)</f>
        <v>3530</v>
      </c>
      <c r="E226" s="14">
        <f>_xlfn.XLOOKUP($B226,'Average Salary'!$A:$A,'Average Salary'!D:D)</f>
        <v>200</v>
      </c>
      <c r="F226" s="14">
        <f>_xlfn.XLOOKUP($B226,'Average Salary'!$A:$A,'Average Salary'!E:E)</f>
        <v>2500</v>
      </c>
    </row>
    <row r="227" spans="1:6" x14ac:dyDescent="0.35">
      <c r="A227" s="4" t="s">
        <v>29</v>
      </c>
      <c r="B227" s="4">
        <v>10</v>
      </c>
      <c r="C227" s="14">
        <f>_xlfn.XLOOKUP(B227,'Average Salary'!A:A,'Average Salary'!B:B)</f>
        <v>361055.48698113207</v>
      </c>
      <c r="D227" s="14">
        <f>_xlfn.XLOOKUP($B227,'Average Salary'!$A:$A,'Average Salary'!C:C)</f>
        <v>3530</v>
      </c>
      <c r="E227" s="14">
        <f>_xlfn.XLOOKUP($B227,'Average Salary'!$A:$A,'Average Salary'!D:D)</f>
        <v>200</v>
      </c>
      <c r="F227" s="14">
        <f>_xlfn.XLOOKUP($B227,'Average Salary'!$A:$A,'Average Salary'!E:E)</f>
        <v>2500</v>
      </c>
    </row>
    <row r="228" spans="1:6" x14ac:dyDescent="0.35">
      <c r="A228" s="4" t="s">
        <v>29</v>
      </c>
      <c r="B228" s="4">
        <v>4</v>
      </c>
      <c r="C228" s="14">
        <f>_xlfn.XLOOKUP(B228,'Average Salary'!A:A,'Average Salary'!B:B)</f>
        <v>33790</v>
      </c>
      <c r="D228" s="14">
        <f>_xlfn.XLOOKUP($B228,'Average Salary'!$A:$A,'Average Salary'!C:C)</f>
        <v>3430</v>
      </c>
      <c r="E228" s="14">
        <f>_xlfn.XLOOKUP($B228,'Average Salary'!$A:$A,'Average Salary'!D:D)</f>
        <v>200</v>
      </c>
      <c r="F228" s="14">
        <f>_xlfn.XLOOKUP($B228,'Average Salary'!$A:$A,'Average Salary'!E:E)</f>
        <v>844.75</v>
      </c>
    </row>
    <row r="229" spans="1:6" x14ac:dyDescent="0.35">
      <c r="A229" s="4" t="s">
        <v>29</v>
      </c>
      <c r="B229" s="4">
        <v>7</v>
      </c>
      <c r="C229" s="14">
        <f>_xlfn.XLOOKUP(B229,'Average Salary'!A:A,'Average Salary'!B:B)</f>
        <v>78480</v>
      </c>
      <c r="D229" s="14">
        <f>_xlfn.XLOOKUP($B229,'Average Salary'!$A:$A,'Average Salary'!C:C)</f>
        <v>3530</v>
      </c>
      <c r="E229" s="14">
        <f>_xlfn.XLOOKUP($B229,'Average Salary'!$A:$A,'Average Salary'!D:D)</f>
        <v>200</v>
      </c>
      <c r="F229" s="14">
        <f>_xlfn.XLOOKUP($B229,'Average Salary'!$A:$A,'Average Salary'!E:E)</f>
        <v>1962</v>
      </c>
    </row>
    <row r="230" spans="1:6" x14ac:dyDescent="0.35">
      <c r="A230" s="4" t="s">
        <v>29</v>
      </c>
      <c r="B230" s="4">
        <v>8</v>
      </c>
      <c r="C230" s="14">
        <f>_xlfn.XLOOKUP(B230,'Average Salary'!A:A,'Average Salary'!B:B)</f>
        <v>115927.90920000001</v>
      </c>
      <c r="D230" s="14">
        <f>_xlfn.XLOOKUP($B230,'Average Salary'!$A:$A,'Average Salary'!C:C)</f>
        <v>3530</v>
      </c>
      <c r="E230" s="14">
        <f>_xlfn.XLOOKUP($B230,'Average Salary'!$A:$A,'Average Salary'!D:D)</f>
        <v>200</v>
      </c>
      <c r="F230" s="14">
        <f>_xlfn.XLOOKUP($B230,'Average Salary'!$A:$A,'Average Salary'!E:E)</f>
        <v>2500</v>
      </c>
    </row>
    <row r="231" spans="1:6" x14ac:dyDescent="0.35">
      <c r="A231" s="4" t="s">
        <v>29</v>
      </c>
      <c r="B231" s="4">
        <v>4</v>
      </c>
      <c r="C231" s="14">
        <f>_xlfn.XLOOKUP(B231,'Average Salary'!A:A,'Average Salary'!B:B)</f>
        <v>33790</v>
      </c>
      <c r="D231" s="14">
        <f>_xlfn.XLOOKUP($B231,'Average Salary'!$A:$A,'Average Salary'!C:C)</f>
        <v>3430</v>
      </c>
      <c r="E231" s="14">
        <f>_xlfn.XLOOKUP($B231,'Average Salary'!$A:$A,'Average Salary'!D:D)</f>
        <v>200</v>
      </c>
      <c r="F231" s="14">
        <f>_xlfn.XLOOKUP($B231,'Average Salary'!$A:$A,'Average Salary'!E:E)</f>
        <v>844.75</v>
      </c>
    </row>
    <row r="232" spans="1:6" x14ac:dyDescent="0.35">
      <c r="A232" s="4" t="s">
        <v>29</v>
      </c>
      <c r="B232" s="4">
        <v>4</v>
      </c>
      <c r="C232" s="14">
        <f>_xlfn.XLOOKUP(B232,'Average Salary'!A:A,'Average Salary'!B:B)</f>
        <v>33790</v>
      </c>
      <c r="D232" s="14">
        <f>_xlfn.XLOOKUP($B232,'Average Salary'!$A:$A,'Average Salary'!C:C)</f>
        <v>3430</v>
      </c>
      <c r="E232" s="14">
        <f>_xlfn.XLOOKUP($B232,'Average Salary'!$A:$A,'Average Salary'!D:D)</f>
        <v>200</v>
      </c>
      <c r="F232" s="14">
        <f>_xlfn.XLOOKUP($B232,'Average Salary'!$A:$A,'Average Salary'!E:E)</f>
        <v>844.75</v>
      </c>
    </row>
    <row r="233" spans="1:6" x14ac:dyDescent="0.35">
      <c r="A233" s="4" t="s">
        <v>29</v>
      </c>
      <c r="B233" s="4">
        <v>3</v>
      </c>
      <c r="C233" s="14">
        <f>_xlfn.XLOOKUP(B233,'Average Salary'!A:A,'Average Salary'!B:B)</f>
        <v>25070.000000000004</v>
      </c>
      <c r="D233" s="14">
        <f>_xlfn.XLOOKUP($B233,'Average Salary'!$A:$A,'Average Salary'!C:C)</f>
        <v>2530</v>
      </c>
      <c r="E233" s="14">
        <f>_xlfn.XLOOKUP($B233,'Average Salary'!$A:$A,'Average Salary'!D:D)</f>
        <v>200</v>
      </c>
      <c r="F233" s="14">
        <f>_xlfn.XLOOKUP($B233,'Average Salary'!$A:$A,'Average Salary'!E:E)</f>
        <v>626.75000000000011</v>
      </c>
    </row>
    <row r="234" spans="1:6" x14ac:dyDescent="0.35">
      <c r="A234" s="4" t="s">
        <v>29</v>
      </c>
      <c r="B234" s="4">
        <v>3</v>
      </c>
      <c r="C234" s="14">
        <f>_xlfn.XLOOKUP(B234,'Average Salary'!A:A,'Average Salary'!B:B)</f>
        <v>25070.000000000004</v>
      </c>
      <c r="D234" s="14">
        <f>_xlfn.XLOOKUP($B234,'Average Salary'!$A:$A,'Average Salary'!C:C)</f>
        <v>2530</v>
      </c>
      <c r="E234" s="14">
        <f>_xlfn.XLOOKUP($B234,'Average Salary'!$A:$A,'Average Salary'!D:D)</f>
        <v>200</v>
      </c>
      <c r="F234" s="14">
        <f>_xlfn.XLOOKUP($B234,'Average Salary'!$A:$A,'Average Salary'!E:E)</f>
        <v>626.75000000000011</v>
      </c>
    </row>
    <row r="235" spans="1:6" x14ac:dyDescent="0.35">
      <c r="A235" s="4" t="s">
        <v>29</v>
      </c>
      <c r="B235" s="4">
        <v>6</v>
      </c>
      <c r="C235" s="14">
        <f>_xlfn.XLOOKUP(B235,'Average Salary'!A:A,'Average Salary'!B:B)</f>
        <v>62130.000000000007</v>
      </c>
      <c r="D235" s="14">
        <f>_xlfn.XLOOKUP($B235,'Average Salary'!$A:$A,'Average Salary'!C:C)</f>
        <v>3530</v>
      </c>
      <c r="E235" s="14">
        <f>_xlfn.XLOOKUP($B235,'Average Salary'!$A:$A,'Average Salary'!D:D)</f>
        <v>200</v>
      </c>
      <c r="F235" s="14">
        <f>_xlfn.XLOOKUP($B235,'Average Salary'!$A:$A,'Average Salary'!E:E)</f>
        <v>1553.2500000000002</v>
      </c>
    </row>
    <row r="236" spans="1:6" x14ac:dyDescent="0.35">
      <c r="A236" s="4" t="s">
        <v>29</v>
      </c>
      <c r="B236" s="4">
        <v>7</v>
      </c>
      <c r="C236" s="14">
        <f>_xlfn.XLOOKUP(B236,'Average Salary'!A:A,'Average Salary'!B:B)</f>
        <v>78480</v>
      </c>
      <c r="D236" s="14">
        <f>_xlfn.XLOOKUP($B236,'Average Salary'!$A:$A,'Average Salary'!C:C)</f>
        <v>3530</v>
      </c>
      <c r="E236" s="14">
        <f>_xlfn.XLOOKUP($B236,'Average Salary'!$A:$A,'Average Salary'!D:D)</f>
        <v>200</v>
      </c>
      <c r="F236" s="14">
        <f>_xlfn.XLOOKUP($B236,'Average Salary'!$A:$A,'Average Salary'!E:E)</f>
        <v>1962</v>
      </c>
    </row>
    <row r="237" spans="1:6" x14ac:dyDescent="0.35">
      <c r="A237" s="4" t="s">
        <v>29</v>
      </c>
      <c r="B237" s="4">
        <v>8</v>
      </c>
      <c r="C237" s="14">
        <f>_xlfn.XLOOKUP(B237,'Average Salary'!A:A,'Average Salary'!B:B)</f>
        <v>115927.90920000001</v>
      </c>
      <c r="D237" s="14">
        <f>_xlfn.XLOOKUP($B237,'Average Salary'!$A:$A,'Average Salary'!C:C)</f>
        <v>3530</v>
      </c>
      <c r="E237" s="14">
        <f>_xlfn.XLOOKUP($B237,'Average Salary'!$A:$A,'Average Salary'!D:D)</f>
        <v>200</v>
      </c>
      <c r="F237" s="14">
        <f>_xlfn.XLOOKUP($B237,'Average Salary'!$A:$A,'Average Salary'!E:E)</f>
        <v>2500</v>
      </c>
    </row>
    <row r="238" spans="1:6" x14ac:dyDescent="0.35">
      <c r="A238" s="4" t="s">
        <v>29</v>
      </c>
      <c r="B238" s="4">
        <v>4</v>
      </c>
      <c r="C238" s="14">
        <f>_xlfn.XLOOKUP(B238,'Average Salary'!A:A,'Average Salary'!B:B)</f>
        <v>33790</v>
      </c>
      <c r="D238" s="14">
        <f>_xlfn.XLOOKUP($B238,'Average Salary'!$A:$A,'Average Salary'!C:C)</f>
        <v>3430</v>
      </c>
      <c r="E238" s="14">
        <f>_xlfn.XLOOKUP($B238,'Average Salary'!$A:$A,'Average Salary'!D:D)</f>
        <v>200</v>
      </c>
      <c r="F238" s="14">
        <f>_xlfn.XLOOKUP($B238,'Average Salary'!$A:$A,'Average Salary'!E:E)</f>
        <v>844.75</v>
      </c>
    </row>
    <row r="239" spans="1:6" x14ac:dyDescent="0.35">
      <c r="A239" s="4" t="s">
        <v>29</v>
      </c>
      <c r="B239" s="4">
        <v>10</v>
      </c>
      <c r="C239" s="14">
        <f>_xlfn.XLOOKUP(B239,'Average Salary'!A:A,'Average Salary'!B:B)</f>
        <v>361055.48698113207</v>
      </c>
      <c r="D239" s="14">
        <f>_xlfn.XLOOKUP($B239,'Average Salary'!$A:$A,'Average Salary'!C:C)</f>
        <v>3530</v>
      </c>
      <c r="E239" s="14">
        <f>_xlfn.XLOOKUP($B239,'Average Salary'!$A:$A,'Average Salary'!D:D)</f>
        <v>200</v>
      </c>
      <c r="F239" s="14">
        <f>_xlfn.XLOOKUP($B239,'Average Salary'!$A:$A,'Average Salary'!E:E)</f>
        <v>2500</v>
      </c>
    </row>
    <row r="240" spans="1:6" x14ac:dyDescent="0.35">
      <c r="A240" s="4" t="s">
        <v>29</v>
      </c>
      <c r="B240" s="4">
        <v>4</v>
      </c>
      <c r="C240" s="14">
        <f>_xlfn.XLOOKUP(B240,'Average Salary'!A:A,'Average Salary'!B:B)</f>
        <v>33790</v>
      </c>
      <c r="D240" s="14">
        <f>_xlfn.XLOOKUP($B240,'Average Salary'!$A:$A,'Average Salary'!C:C)</f>
        <v>3430</v>
      </c>
      <c r="E240" s="14">
        <f>_xlfn.XLOOKUP($B240,'Average Salary'!$A:$A,'Average Salary'!D:D)</f>
        <v>200</v>
      </c>
      <c r="F240" s="14">
        <f>_xlfn.XLOOKUP($B240,'Average Salary'!$A:$A,'Average Salary'!E:E)</f>
        <v>844.75</v>
      </c>
    </row>
    <row r="241" spans="1:6" x14ac:dyDescent="0.35">
      <c r="A241" s="4" t="s">
        <v>29</v>
      </c>
      <c r="B241" s="4">
        <v>10</v>
      </c>
      <c r="C241" s="14">
        <f>_xlfn.XLOOKUP(B241,'Average Salary'!A:A,'Average Salary'!B:B)</f>
        <v>361055.48698113207</v>
      </c>
      <c r="D241" s="14">
        <f>_xlfn.XLOOKUP($B241,'Average Salary'!$A:$A,'Average Salary'!C:C)</f>
        <v>3530</v>
      </c>
      <c r="E241" s="14">
        <f>_xlfn.XLOOKUP($B241,'Average Salary'!$A:$A,'Average Salary'!D:D)</f>
        <v>200</v>
      </c>
      <c r="F241" s="14">
        <f>_xlfn.XLOOKUP($B241,'Average Salary'!$A:$A,'Average Salary'!E:E)</f>
        <v>2500</v>
      </c>
    </row>
    <row r="242" spans="1:6" x14ac:dyDescent="0.35">
      <c r="A242" s="4" t="s">
        <v>29</v>
      </c>
      <c r="B242" s="4">
        <v>6</v>
      </c>
      <c r="C242" s="14">
        <f>_xlfn.XLOOKUP(B242,'Average Salary'!A:A,'Average Salary'!B:B)</f>
        <v>62130.000000000007</v>
      </c>
      <c r="D242" s="14">
        <f>_xlfn.XLOOKUP($B242,'Average Salary'!$A:$A,'Average Salary'!C:C)</f>
        <v>3530</v>
      </c>
      <c r="E242" s="14">
        <f>_xlfn.XLOOKUP($B242,'Average Salary'!$A:$A,'Average Salary'!D:D)</f>
        <v>200</v>
      </c>
      <c r="F242" s="14">
        <f>_xlfn.XLOOKUP($B242,'Average Salary'!$A:$A,'Average Salary'!E:E)</f>
        <v>1553.2500000000002</v>
      </c>
    </row>
    <row r="243" spans="1:6" x14ac:dyDescent="0.35">
      <c r="A243" s="4" t="s">
        <v>29</v>
      </c>
      <c r="B243" s="4">
        <v>12</v>
      </c>
      <c r="C243" s="14">
        <f>_xlfn.XLOOKUP(B243,'Average Salary'!A:A,'Average Salary'!B:B)</f>
        <v>600000</v>
      </c>
      <c r="D243" s="14">
        <f>_xlfn.XLOOKUP($B243,'Average Salary'!$A:$A,'Average Salary'!C:C)</f>
        <v>3530</v>
      </c>
      <c r="E243" s="14">
        <f>_xlfn.XLOOKUP($B243,'Average Salary'!$A:$A,'Average Salary'!D:D)</f>
        <v>200</v>
      </c>
      <c r="F243" s="14">
        <f>_xlfn.XLOOKUP($B243,'Average Salary'!$A:$A,'Average Salary'!E:E)</f>
        <v>2500</v>
      </c>
    </row>
    <row r="244" spans="1:6" x14ac:dyDescent="0.35">
      <c r="A244" s="4" t="s">
        <v>29</v>
      </c>
      <c r="B244" s="4">
        <v>8</v>
      </c>
      <c r="C244" s="14">
        <f>_xlfn.XLOOKUP(B244,'Average Salary'!A:A,'Average Salary'!B:B)</f>
        <v>115927.90920000001</v>
      </c>
      <c r="D244" s="14">
        <f>_xlfn.XLOOKUP($B244,'Average Salary'!$A:$A,'Average Salary'!C:C)</f>
        <v>3530</v>
      </c>
      <c r="E244" s="14">
        <f>_xlfn.XLOOKUP($B244,'Average Salary'!$A:$A,'Average Salary'!D:D)</f>
        <v>200</v>
      </c>
      <c r="F244" s="14">
        <f>_xlfn.XLOOKUP($B244,'Average Salary'!$A:$A,'Average Salary'!E:E)</f>
        <v>2500</v>
      </c>
    </row>
    <row r="245" spans="1:6" x14ac:dyDescent="0.35">
      <c r="A245" s="4" t="s">
        <v>29</v>
      </c>
      <c r="B245" s="4">
        <v>6</v>
      </c>
      <c r="C245" s="14">
        <f>_xlfn.XLOOKUP(B245,'Average Salary'!A:A,'Average Salary'!B:B)</f>
        <v>62130.000000000007</v>
      </c>
      <c r="D245" s="14">
        <f>_xlfn.XLOOKUP($B245,'Average Salary'!$A:$A,'Average Salary'!C:C)</f>
        <v>3530</v>
      </c>
      <c r="E245" s="14">
        <f>_xlfn.XLOOKUP($B245,'Average Salary'!$A:$A,'Average Salary'!D:D)</f>
        <v>200</v>
      </c>
      <c r="F245" s="14">
        <f>_xlfn.XLOOKUP($B245,'Average Salary'!$A:$A,'Average Salary'!E:E)</f>
        <v>1553.2500000000002</v>
      </c>
    </row>
    <row r="246" spans="1:6" x14ac:dyDescent="0.35">
      <c r="A246" s="4" t="s">
        <v>29</v>
      </c>
      <c r="B246" s="4">
        <v>3</v>
      </c>
      <c r="C246" s="14">
        <f>_xlfn.XLOOKUP(B246,'Average Salary'!A:A,'Average Salary'!B:B)</f>
        <v>25070.000000000004</v>
      </c>
      <c r="D246" s="14">
        <f>_xlfn.XLOOKUP($B246,'Average Salary'!$A:$A,'Average Salary'!C:C)</f>
        <v>2530</v>
      </c>
      <c r="E246" s="14">
        <f>_xlfn.XLOOKUP($B246,'Average Salary'!$A:$A,'Average Salary'!D:D)</f>
        <v>200</v>
      </c>
      <c r="F246" s="14">
        <f>_xlfn.XLOOKUP($B246,'Average Salary'!$A:$A,'Average Salary'!E:E)</f>
        <v>626.75000000000011</v>
      </c>
    </row>
    <row r="247" spans="1:6" x14ac:dyDescent="0.35">
      <c r="A247" s="4" t="s">
        <v>29</v>
      </c>
      <c r="B247" s="4">
        <v>3</v>
      </c>
      <c r="C247" s="14">
        <f>_xlfn.XLOOKUP(B247,'Average Salary'!A:A,'Average Salary'!B:B)</f>
        <v>25070.000000000004</v>
      </c>
      <c r="D247" s="14">
        <f>_xlfn.XLOOKUP($B247,'Average Salary'!$A:$A,'Average Salary'!C:C)</f>
        <v>2530</v>
      </c>
      <c r="E247" s="14">
        <f>_xlfn.XLOOKUP($B247,'Average Salary'!$A:$A,'Average Salary'!D:D)</f>
        <v>200</v>
      </c>
      <c r="F247" s="14">
        <f>_xlfn.XLOOKUP($B247,'Average Salary'!$A:$A,'Average Salary'!E:E)</f>
        <v>626.75000000000011</v>
      </c>
    </row>
    <row r="248" spans="1:6" x14ac:dyDescent="0.35">
      <c r="A248" s="4" t="s">
        <v>29</v>
      </c>
      <c r="B248" s="4">
        <v>10</v>
      </c>
      <c r="C248" s="14">
        <f>_xlfn.XLOOKUP(B248,'Average Salary'!A:A,'Average Salary'!B:B)</f>
        <v>361055.48698113207</v>
      </c>
      <c r="D248" s="14">
        <f>_xlfn.XLOOKUP($B248,'Average Salary'!$A:$A,'Average Salary'!C:C)</f>
        <v>3530</v>
      </c>
      <c r="E248" s="14">
        <f>_xlfn.XLOOKUP($B248,'Average Salary'!$A:$A,'Average Salary'!D:D)</f>
        <v>200</v>
      </c>
      <c r="F248" s="14">
        <f>_xlfn.XLOOKUP($B248,'Average Salary'!$A:$A,'Average Salary'!E:E)</f>
        <v>2500</v>
      </c>
    </row>
    <row r="249" spans="1:6" x14ac:dyDescent="0.35">
      <c r="A249" s="4" t="s">
        <v>29</v>
      </c>
      <c r="B249" s="4">
        <v>5</v>
      </c>
      <c r="C249" s="14">
        <f>_xlfn.XLOOKUP(B249,'Average Salary'!A:A,'Average Salary'!B:B)</f>
        <v>42510</v>
      </c>
      <c r="D249" s="14">
        <f>_xlfn.XLOOKUP($B249,'Average Salary'!$A:$A,'Average Salary'!C:C)</f>
        <v>3530</v>
      </c>
      <c r="E249" s="14">
        <f>_xlfn.XLOOKUP($B249,'Average Salary'!$A:$A,'Average Salary'!D:D)</f>
        <v>200</v>
      </c>
      <c r="F249" s="14">
        <f>_xlfn.XLOOKUP($B249,'Average Salary'!$A:$A,'Average Salary'!E:E)</f>
        <v>1062.75</v>
      </c>
    </row>
    <row r="250" spans="1:6" x14ac:dyDescent="0.35">
      <c r="A250" s="4" t="s">
        <v>29</v>
      </c>
      <c r="B250" s="4">
        <v>4</v>
      </c>
      <c r="C250" s="14">
        <f>_xlfn.XLOOKUP(B250,'Average Salary'!A:A,'Average Salary'!B:B)</f>
        <v>33790</v>
      </c>
      <c r="D250" s="14">
        <f>_xlfn.XLOOKUP($B250,'Average Salary'!$A:$A,'Average Salary'!C:C)</f>
        <v>3430</v>
      </c>
      <c r="E250" s="14">
        <f>_xlfn.XLOOKUP($B250,'Average Salary'!$A:$A,'Average Salary'!D:D)</f>
        <v>200</v>
      </c>
      <c r="F250" s="14">
        <f>_xlfn.XLOOKUP($B250,'Average Salary'!$A:$A,'Average Salary'!E:E)</f>
        <v>844.75</v>
      </c>
    </row>
    <row r="251" spans="1:6" x14ac:dyDescent="0.35">
      <c r="A251" s="4" t="s">
        <v>29</v>
      </c>
      <c r="B251" s="4">
        <v>5</v>
      </c>
      <c r="C251" s="14">
        <f>_xlfn.XLOOKUP(B251,'Average Salary'!A:A,'Average Salary'!B:B)</f>
        <v>42510</v>
      </c>
      <c r="D251" s="14">
        <f>_xlfn.XLOOKUP($B251,'Average Salary'!$A:$A,'Average Salary'!C:C)</f>
        <v>3530</v>
      </c>
      <c r="E251" s="14">
        <f>_xlfn.XLOOKUP($B251,'Average Salary'!$A:$A,'Average Salary'!D:D)</f>
        <v>200</v>
      </c>
      <c r="F251" s="14">
        <f>_xlfn.XLOOKUP($B251,'Average Salary'!$A:$A,'Average Salary'!E:E)</f>
        <v>1062.75</v>
      </c>
    </row>
    <row r="252" spans="1:6" x14ac:dyDescent="0.35">
      <c r="A252" s="4" t="s">
        <v>29</v>
      </c>
      <c r="B252" s="4">
        <v>4</v>
      </c>
      <c r="C252" s="14">
        <f>_xlfn.XLOOKUP(B252,'Average Salary'!A:A,'Average Salary'!B:B)</f>
        <v>33790</v>
      </c>
      <c r="D252" s="14">
        <f>_xlfn.XLOOKUP($B252,'Average Salary'!$A:$A,'Average Salary'!C:C)</f>
        <v>3430</v>
      </c>
      <c r="E252" s="14">
        <f>_xlfn.XLOOKUP($B252,'Average Salary'!$A:$A,'Average Salary'!D:D)</f>
        <v>200</v>
      </c>
      <c r="F252" s="14">
        <f>_xlfn.XLOOKUP($B252,'Average Salary'!$A:$A,'Average Salary'!E:E)</f>
        <v>844.75</v>
      </c>
    </row>
    <row r="253" spans="1:6" x14ac:dyDescent="0.35">
      <c r="A253" s="4" t="s">
        <v>29</v>
      </c>
      <c r="B253" s="4">
        <v>5</v>
      </c>
      <c r="C253" s="14">
        <f>_xlfn.XLOOKUP(B253,'Average Salary'!A:A,'Average Salary'!B:B)</f>
        <v>42510</v>
      </c>
      <c r="D253" s="14">
        <f>_xlfn.XLOOKUP($B253,'Average Salary'!$A:$A,'Average Salary'!C:C)</f>
        <v>3530</v>
      </c>
      <c r="E253" s="14">
        <f>_xlfn.XLOOKUP($B253,'Average Salary'!$A:$A,'Average Salary'!D:D)</f>
        <v>200</v>
      </c>
      <c r="F253" s="14">
        <f>_xlfn.XLOOKUP($B253,'Average Salary'!$A:$A,'Average Salary'!E:E)</f>
        <v>1062.75</v>
      </c>
    </row>
    <row r="254" spans="1:6" x14ac:dyDescent="0.35">
      <c r="A254" s="4" t="s">
        <v>29</v>
      </c>
      <c r="B254" s="4">
        <v>4</v>
      </c>
      <c r="C254" s="14">
        <f>_xlfn.XLOOKUP(B254,'Average Salary'!A:A,'Average Salary'!B:B)</f>
        <v>33790</v>
      </c>
      <c r="D254" s="14">
        <f>_xlfn.XLOOKUP($B254,'Average Salary'!$A:$A,'Average Salary'!C:C)</f>
        <v>3430</v>
      </c>
      <c r="E254" s="14">
        <f>_xlfn.XLOOKUP($B254,'Average Salary'!$A:$A,'Average Salary'!D:D)</f>
        <v>200</v>
      </c>
      <c r="F254" s="14">
        <f>_xlfn.XLOOKUP($B254,'Average Salary'!$A:$A,'Average Salary'!E:E)</f>
        <v>844.75</v>
      </c>
    </row>
    <row r="255" spans="1:6" x14ac:dyDescent="0.35">
      <c r="A255" s="4" t="s">
        <v>29</v>
      </c>
      <c r="B255" s="4">
        <v>4</v>
      </c>
      <c r="C255" s="14">
        <f>_xlfn.XLOOKUP(B255,'Average Salary'!A:A,'Average Salary'!B:B)</f>
        <v>33790</v>
      </c>
      <c r="D255" s="14">
        <f>_xlfn.XLOOKUP($B255,'Average Salary'!$A:$A,'Average Salary'!C:C)</f>
        <v>3430</v>
      </c>
      <c r="E255" s="14">
        <f>_xlfn.XLOOKUP($B255,'Average Salary'!$A:$A,'Average Salary'!D:D)</f>
        <v>200</v>
      </c>
      <c r="F255" s="14">
        <f>_xlfn.XLOOKUP($B255,'Average Salary'!$A:$A,'Average Salary'!E:E)</f>
        <v>844.75</v>
      </c>
    </row>
    <row r="256" spans="1:6" x14ac:dyDescent="0.35">
      <c r="A256" s="4" t="s">
        <v>29</v>
      </c>
      <c r="B256" s="4">
        <v>7</v>
      </c>
      <c r="C256" s="14">
        <f>_xlfn.XLOOKUP(B256,'Average Salary'!A:A,'Average Salary'!B:B)</f>
        <v>78480</v>
      </c>
      <c r="D256" s="14">
        <f>_xlfn.XLOOKUP($B256,'Average Salary'!$A:$A,'Average Salary'!C:C)</f>
        <v>3530</v>
      </c>
      <c r="E256" s="14">
        <f>_xlfn.XLOOKUP($B256,'Average Salary'!$A:$A,'Average Salary'!D:D)</f>
        <v>200</v>
      </c>
      <c r="F256" s="14">
        <f>_xlfn.XLOOKUP($B256,'Average Salary'!$A:$A,'Average Salary'!E:E)</f>
        <v>1962</v>
      </c>
    </row>
    <row r="257" spans="1:6" x14ac:dyDescent="0.35">
      <c r="A257" s="4" t="s">
        <v>29</v>
      </c>
      <c r="B257" s="4">
        <v>5</v>
      </c>
      <c r="C257" s="14">
        <f>_xlfn.XLOOKUP(B257,'Average Salary'!A:A,'Average Salary'!B:B)</f>
        <v>42510</v>
      </c>
      <c r="D257" s="14">
        <f>_xlfn.XLOOKUP($B257,'Average Salary'!$A:$A,'Average Salary'!C:C)</f>
        <v>3530</v>
      </c>
      <c r="E257" s="14">
        <f>_xlfn.XLOOKUP($B257,'Average Salary'!$A:$A,'Average Salary'!D:D)</f>
        <v>200</v>
      </c>
      <c r="F257" s="14">
        <f>_xlfn.XLOOKUP($B257,'Average Salary'!$A:$A,'Average Salary'!E:E)</f>
        <v>1062.75</v>
      </c>
    </row>
    <row r="258" spans="1:6" x14ac:dyDescent="0.35">
      <c r="A258" s="4" t="s">
        <v>29</v>
      </c>
      <c r="B258" s="4">
        <v>4</v>
      </c>
      <c r="C258" s="14">
        <f>_xlfn.XLOOKUP(B258,'Average Salary'!A:A,'Average Salary'!B:B)</f>
        <v>33790</v>
      </c>
      <c r="D258" s="14">
        <f>_xlfn.XLOOKUP($B258,'Average Salary'!$A:$A,'Average Salary'!C:C)</f>
        <v>3430</v>
      </c>
      <c r="E258" s="14">
        <f>_xlfn.XLOOKUP($B258,'Average Salary'!$A:$A,'Average Salary'!D:D)</f>
        <v>200</v>
      </c>
      <c r="F258" s="14">
        <f>_xlfn.XLOOKUP($B258,'Average Salary'!$A:$A,'Average Salary'!E:E)</f>
        <v>844.75</v>
      </c>
    </row>
    <row r="259" spans="1:6" x14ac:dyDescent="0.35">
      <c r="A259" s="4" t="s">
        <v>29</v>
      </c>
      <c r="B259" s="4">
        <v>7</v>
      </c>
      <c r="C259" s="14">
        <f>_xlfn.XLOOKUP(B259,'Average Salary'!A:A,'Average Salary'!B:B)</f>
        <v>78480</v>
      </c>
      <c r="D259" s="14">
        <f>_xlfn.XLOOKUP($B259,'Average Salary'!$A:$A,'Average Salary'!C:C)</f>
        <v>3530</v>
      </c>
      <c r="E259" s="14">
        <f>_xlfn.XLOOKUP($B259,'Average Salary'!$A:$A,'Average Salary'!D:D)</f>
        <v>200</v>
      </c>
      <c r="F259" s="14">
        <f>_xlfn.XLOOKUP($B259,'Average Salary'!$A:$A,'Average Salary'!E:E)</f>
        <v>1962</v>
      </c>
    </row>
    <row r="260" spans="1:6" x14ac:dyDescent="0.35">
      <c r="A260" s="4" t="s">
        <v>29</v>
      </c>
      <c r="B260" s="4">
        <v>8</v>
      </c>
      <c r="C260" s="14">
        <f>_xlfn.XLOOKUP(B260,'Average Salary'!A:A,'Average Salary'!B:B)</f>
        <v>115927.90920000001</v>
      </c>
      <c r="D260" s="14">
        <f>_xlfn.XLOOKUP($B260,'Average Salary'!$A:$A,'Average Salary'!C:C)</f>
        <v>3530</v>
      </c>
      <c r="E260" s="14">
        <f>_xlfn.XLOOKUP($B260,'Average Salary'!$A:$A,'Average Salary'!D:D)</f>
        <v>200</v>
      </c>
      <c r="F260" s="14">
        <f>_xlfn.XLOOKUP($B260,'Average Salary'!$A:$A,'Average Salary'!E:E)</f>
        <v>2500</v>
      </c>
    </row>
    <row r="261" spans="1:6" x14ac:dyDescent="0.35">
      <c r="A261" s="4" t="s">
        <v>29</v>
      </c>
      <c r="B261" s="4">
        <v>6</v>
      </c>
      <c r="C261" s="14">
        <f>_xlfn.XLOOKUP(B261,'Average Salary'!A:A,'Average Salary'!B:B)</f>
        <v>62130.000000000007</v>
      </c>
      <c r="D261" s="14">
        <f>_xlfn.XLOOKUP($B261,'Average Salary'!$A:$A,'Average Salary'!C:C)</f>
        <v>3530</v>
      </c>
      <c r="E261" s="14">
        <f>_xlfn.XLOOKUP($B261,'Average Salary'!$A:$A,'Average Salary'!D:D)</f>
        <v>200</v>
      </c>
      <c r="F261" s="14">
        <f>_xlfn.XLOOKUP($B261,'Average Salary'!$A:$A,'Average Salary'!E:E)</f>
        <v>1553.2500000000002</v>
      </c>
    </row>
    <row r="262" spans="1:6" x14ac:dyDescent="0.35">
      <c r="A262" s="4" t="s">
        <v>29</v>
      </c>
      <c r="B262" s="4">
        <v>7</v>
      </c>
      <c r="C262" s="14">
        <f>_xlfn.XLOOKUP(B262,'Average Salary'!A:A,'Average Salary'!B:B)</f>
        <v>78480</v>
      </c>
      <c r="D262" s="14">
        <f>_xlfn.XLOOKUP($B262,'Average Salary'!$A:$A,'Average Salary'!C:C)</f>
        <v>3530</v>
      </c>
      <c r="E262" s="14">
        <f>_xlfn.XLOOKUP($B262,'Average Salary'!$A:$A,'Average Salary'!D:D)</f>
        <v>200</v>
      </c>
      <c r="F262" s="14">
        <f>_xlfn.XLOOKUP($B262,'Average Salary'!$A:$A,'Average Salary'!E:E)</f>
        <v>1962</v>
      </c>
    </row>
    <row r="263" spans="1:6" x14ac:dyDescent="0.35">
      <c r="A263" s="4" t="s">
        <v>29</v>
      </c>
      <c r="B263" s="4">
        <v>6</v>
      </c>
      <c r="C263" s="14">
        <f>_xlfn.XLOOKUP(B263,'Average Salary'!A:A,'Average Salary'!B:B)</f>
        <v>62130.000000000007</v>
      </c>
      <c r="D263" s="14">
        <f>_xlfn.XLOOKUP($B263,'Average Salary'!$A:$A,'Average Salary'!C:C)</f>
        <v>3530</v>
      </c>
      <c r="E263" s="14">
        <f>_xlfn.XLOOKUP($B263,'Average Salary'!$A:$A,'Average Salary'!D:D)</f>
        <v>200</v>
      </c>
      <c r="F263" s="14">
        <f>_xlfn.XLOOKUP($B263,'Average Salary'!$A:$A,'Average Salary'!E:E)</f>
        <v>1553.2500000000002</v>
      </c>
    </row>
    <row r="264" spans="1:6" x14ac:dyDescent="0.35">
      <c r="A264" s="4" t="s">
        <v>29</v>
      </c>
      <c r="B264" s="4">
        <v>9</v>
      </c>
      <c r="C264" s="14">
        <f>_xlfn.XLOOKUP(B264,'Average Salary'!A:A,'Average Salary'!B:B)</f>
        <v>201377.50000000003</v>
      </c>
      <c r="D264" s="14">
        <f>_xlfn.XLOOKUP($B264,'Average Salary'!$A:$A,'Average Salary'!C:C)</f>
        <v>3530</v>
      </c>
      <c r="E264" s="14">
        <f>_xlfn.XLOOKUP($B264,'Average Salary'!$A:$A,'Average Salary'!D:D)</f>
        <v>200</v>
      </c>
      <c r="F264" s="14">
        <f>_xlfn.XLOOKUP($B264,'Average Salary'!$A:$A,'Average Salary'!E:E)</f>
        <v>2500</v>
      </c>
    </row>
    <row r="265" spans="1:6" x14ac:dyDescent="0.35">
      <c r="A265" s="4" t="s">
        <v>29</v>
      </c>
      <c r="B265" s="4">
        <v>7</v>
      </c>
      <c r="C265" s="14">
        <f>_xlfn.XLOOKUP(B265,'Average Salary'!A:A,'Average Salary'!B:B)</f>
        <v>78480</v>
      </c>
      <c r="D265" s="14">
        <f>_xlfn.XLOOKUP($B265,'Average Salary'!$A:$A,'Average Salary'!C:C)</f>
        <v>3530</v>
      </c>
      <c r="E265" s="14">
        <f>_xlfn.XLOOKUP($B265,'Average Salary'!$A:$A,'Average Salary'!D:D)</f>
        <v>200</v>
      </c>
      <c r="F265" s="14">
        <f>_xlfn.XLOOKUP($B265,'Average Salary'!$A:$A,'Average Salary'!E:E)</f>
        <v>1962</v>
      </c>
    </row>
    <row r="266" spans="1:6" x14ac:dyDescent="0.35">
      <c r="A266" s="4" t="s">
        <v>29</v>
      </c>
      <c r="B266" s="4">
        <v>5</v>
      </c>
      <c r="C266" s="14">
        <f>_xlfn.XLOOKUP(B266,'Average Salary'!A:A,'Average Salary'!B:B)</f>
        <v>42510</v>
      </c>
      <c r="D266" s="14">
        <f>_xlfn.XLOOKUP($B266,'Average Salary'!$A:$A,'Average Salary'!C:C)</f>
        <v>3530</v>
      </c>
      <c r="E266" s="14">
        <f>_xlfn.XLOOKUP($B266,'Average Salary'!$A:$A,'Average Salary'!D:D)</f>
        <v>200</v>
      </c>
      <c r="F266" s="14">
        <f>_xlfn.XLOOKUP($B266,'Average Salary'!$A:$A,'Average Salary'!E:E)</f>
        <v>1062.75</v>
      </c>
    </row>
    <row r="267" spans="1:6" x14ac:dyDescent="0.35">
      <c r="A267" s="4" t="s">
        <v>29</v>
      </c>
      <c r="B267" s="4">
        <v>8</v>
      </c>
      <c r="C267" s="14">
        <f>_xlfn.XLOOKUP(B267,'Average Salary'!A:A,'Average Salary'!B:B)</f>
        <v>115927.90920000001</v>
      </c>
      <c r="D267" s="14">
        <f>_xlfn.XLOOKUP($B267,'Average Salary'!$A:$A,'Average Salary'!C:C)</f>
        <v>3530</v>
      </c>
      <c r="E267" s="14">
        <f>_xlfn.XLOOKUP($B267,'Average Salary'!$A:$A,'Average Salary'!D:D)</f>
        <v>200</v>
      </c>
      <c r="F267" s="14">
        <f>_xlfn.XLOOKUP($B267,'Average Salary'!$A:$A,'Average Salary'!E:E)</f>
        <v>2500</v>
      </c>
    </row>
    <row r="268" spans="1:6" x14ac:dyDescent="0.35">
      <c r="A268" s="4" t="s">
        <v>29</v>
      </c>
      <c r="B268" s="4">
        <v>8</v>
      </c>
      <c r="C268" s="14">
        <f>_xlfn.XLOOKUP(B268,'Average Salary'!A:A,'Average Salary'!B:B)</f>
        <v>115927.90920000001</v>
      </c>
      <c r="D268" s="14">
        <f>_xlfn.XLOOKUP($B268,'Average Salary'!$A:$A,'Average Salary'!C:C)</f>
        <v>3530</v>
      </c>
      <c r="E268" s="14">
        <f>_xlfn.XLOOKUP($B268,'Average Salary'!$A:$A,'Average Salary'!D:D)</f>
        <v>200</v>
      </c>
      <c r="F268" s="14">
        <f>_xlfn.XLOOKUP($B268,'Average Salary'!$A:$A,'Average Salary'!E:E)</f>
        <v>2500</v>
      </c>
    </row>
    <row r="269" spans="1:6" x14ac:dyDescent="0.35">
      <c r="A269" s="4" t="s">
        <v>29</v>
      </c>
      <c r="B269" s="4">
        <v>9</v>
      </c>
      <c r="C269" s="14">
        <f>_xlfn.XLOOKUP(B269,'Average Salary'!A:A,'Average Salary'!B:B)</f>
        <v>201377.50000000003</v>
      </c>
      <c r="D269" s="14">
        <f>_xlfn.XLOOKUP($B269,'Average Salary'!$A:$A,'Average Salary'!C:C)</f>
        <v>3530</v>
      </c>
      <c r="E269" s="14">
        <f>_xlfn.XLOOKUP($B269,'Average Salary'!$A:$A,'Average Salary'!D:D)</f>
        <v>200</v>
      </c>
      <c r="F269" s="14">
        <f>_xlfn.XLOOKUP($B269,'Average Salary'!$A:$A,'Average Salary'!E:E)</f>
        <v>2500</v>
      </c>
    </row>
    <row r="270" spans="1:6" x14ac:dyDescent="0.35">
      <c r="A270" s="4" t="s">
        <v>29</v>
      </c>
      <c r="B270" s="4">
        <v>9</v>
      </c>
      <c r="C270" s="14">
        <f>_xlfn.XLOOKUP(B270,'Average Salary'!A:A,'Average Salary'!B:B)</f>
        <v>201377.50000000003</v>
      </c>
      <c r="D270" s="14">
        <f>_xlfn.XLOOKUP($B270,'Average Salary'!$A:$A,'Average Salary'!C:C)</f>
        <v>3530</v>
      </c>
      <c r="E270" s="14">
        <f>_xlfn.XLOOKUP($B270,'Average Salary'!$A:$A,'Average Salary'!D:D)</f>
        <v>200</v>
      </c>
      <c r="F270" s="14">
        <f>_xlfn.XLOOKUP($B270,'Average Salary'!$A:$A,'Average Salary'!E:E)</f>
        <v>2500</v>
      </c>
    </row>
    <row r="271" spans="1:6" x14ac:dyDescent="0.35">
      <c r="A271" s="4" t="s">
        <v>29</v>
      </c>
      <c r="B271" s="4">
        <v>8</v>
      </c>
      <c r="C271" s="14">
        <f>_xlfn.XLOOKUP(B271,'Average Salary'!A:A,'Average Salary'!B:B)</f>
        <v>115927.90920000001</v>
      </c>
      <c r="D271" s="14">
        <f>_xlfn.XLOOKUP($B271,'Average Salary'!$A:$A,'Average Salary'!C:C)</f>
        <v>3530</v>
      </c>
      <c r="E271" s="14">
        <f>_xlfn.XLOOKUP($B271,'Average Salary'!$A:$A,'Average Salary'!D:D)</f>
        <v>200</v>
      </c>
      <c r="F271" s="14">
        <f>_xlfn.XLOOKUP($B271,'Average Salary'!$A:$A,'Average Salary'!E:E)</f>
        <v>2500</v>
      </c>
    </row>
    <row r="272" spans="1:6" x14ac:dyDescent="0.35">
      <c r="A272" s="4" t="s">
        <v>29</v>
      </c>
      <c r="B272" s="4">
        <v>5</v>
      </c>
      <c r="C272" s="14">
        <f>_xlfn.XLOOKUP(B272,'Average Salary'!A:A,'Average Salary'!B:B)</f>
        <v>42510</v>
      </c>
      <c r="D272" s="14">
        <f>_xlfn.XLOOKUP($B272,'Average Salary'!$A:$A,'Average Salary'!C:C)</f>
        <v>3530</v>
      </c>
      <c r="E272" s="14">
        <f>_xlfn.XLOOKUP($B272,'Average Salary'!$A:$A,'Average Salary'!D:D)</f>
        <v>200</v>
      </c>
      <c r="F272" s="14">
        <f>_xlfn.XLOOKUP($B272,'Average Salary'!$A:$A,'Average Salary'!E:E)</f>
        <v>1062.75</v>
      </c>
    </row>
    <row r="273" spans="1:6" x14ac:dyDescent="0.35">
      <c r="A273" s="4" t="s">
        <v>29</v>
      </c>
      <c r="B273" s="4">
        <v>11</v>
      </c>
      <c r="C273" s="14">
        <f>_xlfn.XLOOKUP(B273,'Average Salary'!A:A,'Average Salary'!B:B)</f>
        <v>500000</v>
      </c>
      <c r="D273" s="14">
        <f>_xlfn.XLOOKUP($B273,'Average Salary'!$A:$A,'Average Salary'!C:C)</f>
        <v>3530</v>
      </c>
      <c r="E273" s="14">
        <f>_xlfn.XLOOKUP($B273,'Average Salary'!$A:$A,'Average Salary'!D:D)</f>
        <v>200</v>
      </c>
      <c r="F273" s="14">
        <f>_xlfn.XLOOKUP($B273,'Average Salary'!$A:$A,'Average Salary'!E:E)</f>
        <v>2500</v>
      </c>
    </row>
    <row r="274" spans="1:6" x14ac:dyDescent="0.35">
      <c r="A274" s="4" t="s">
        <v>29</v>
      </c>
      <c r="B274" s="4">
        <v>6</v>
      </c>
      <c r="C274" s="14">
        <f>_xlfn.XLOOKUP(B274,'Average Salary'!A:A,'Average Salary'!B:B)</f>
        <v>62130.000000000007</v>
      </c>
      <c r="D274" s="14">
        <f>_xlfn.XLOOKUP($B274,'Average Salary'!$A:$A,'Average Salary'!C:C)</f>
        <v>3530</v>
      </c>
      <c r="E274" s="14">
        <f>_xlfn.XLOOKUP($B274,'Average Salary'!$A:$A,'Average Salary'!D:D)</f>
        <v>200</v>
      </c>
      <c r="F274" s="14">
        <f>_xlfn.XLOOKUP($B274,'Average Salary'!$A:$A,'Average Salary'!E:E)</f>
        <v>1553.2500000000002</v>
      </c>
    </row>
    <row r="275" spans="1:6" x14ac:dyDescent="0.35">
      <c r="A275" s="4" t="s">
        <v>29</v>
      </c>
      <c r="B275" s="4">
        <v>5</v>
      </c>
      <c r="C275" s="14">
        <f>_xlfn.XLOOKUP(B275,'Average Salary'!A:A,'Average Salary'!B:B)</f>
        <v>42510</v>
      </c>
      <c r="D275" s="14">
        <f>_xlfn.XLOOKUP($B275,'Average Salary'!$A:$A,'Average Salary'!C:C)</f>
        <v>3530</v>
      </c>
      <c r="E275" s="14">
        <f>_xlfn.XLOOKUP($B275,'Average Salary'!$A:$A,'Average Salary'!D:D)</f>
        <v>200</v>
      </c>
      <c r="F275" s="14">
        <f>_xlfn.XLOOKUP($B275,'Average Salary'!$A:$A,'Average Salary'!E:E)</f>
        <v>1062.75</v>
      </c>
    </row>
    <row r="276" spans="1:6" x14ac:dyDescent="0.35">
      <c r="A276" s="4" t="s">
        <v>29</v>
      </c>
      <c r="B276" s="4">
        <v>7</v>
      </c>
      <c r="C276" s="14">
        <f>_xlfn.XLOOKUP(B276,'Average Salary'!A:A,'Average Salary'!B:B)</f>
        <v>78480</v>
      </c>
      <c r="D276" s="14">
        <f>_xlfn.XLOOKUP($B276,'Average Salary'!$A:$A,'Average Salary'!C:C)</f>
        <v>3530</v>
      </c>
      <c r="E276" s="14">
        <f>_xlfn.XLOOKUP($B276,'Average Salary'!$A:$A,'Average Salary'!D:D)</f>
        <v>200</v>
      </c>
      <c r="F276" s="14">
        <f>_xlfn.XLOOKUP($B276,'Average Salary'!$A:$A,'Average Salary'!E:E)</f>
        <v>1962</v>
      </c>
    </row>
    <row r="277" spans="1:6" x14ac:dyDescent="0.35">
      <c r="A277" s="4" t="s">
        <v>29</v>
      </c>
      <c r="B277" s="4">
        <v>7</v>
      </c>
      <c r="C277" s="14">
        <f>_xlfn.XLOOKUP(B277,'Average Salary'!A:A,'Average Salary'!B:B)</f>
        <v>78480</v>
      </c>
      <c r="D277" s="14">
        <f>_xlfn.XLOOKUP($B277,'Average Salary'!$A:$A,'Average Salary'!C:C)</f>
        <v>3530</v>
      </c>
      <c r="E277" s="14">
        <f>_xlfn.XLOOKUP($B277,'Average Salary'!$A:$A,'Average Salary'!D:D)</f>
        <v>200</v>
      </c>
      <c r="F277" s="14">
        <f>_xlfn.XLOOKUP($B277,'Average Salary'!$A:$A,'Average Salary'!E:E)</f>
        <v>1962</v>
      </c>
    </row>
    <row r="278" spans="1:6" x14ac:dyDescent="0.35">
      <c r="A278" s="4" t="s">
        <v>29</v>
      </c>
      <c r="B278" s="4">
        <v>4</v>
      </c>
      <c r="C278" s="14">
        <f>_xlfn.XLOOKUP(B278,'Average Salary'!A:A,'Average Salary'!B:B)</f>
        <v>33790</v>
      </c>
      <c r="D278" s="14">
        <f>_xlfn.XLOOKUP($B278,'Average Salary'!$A:$A,'Average Salary'!C:C)</f>
        <v>3430</v>
      </c>
      <c r="E278" s="14">
        <f>_xlfn.XLOOKUP($B278,'Average Salary'!$A:$A,'Average Salary'!D:D)</f>
        <v>200</v>
      </c>
      <c r="F278" s="14">
        <f>_xlfn.XLOOKUP($B278,'Average Salary'!$A:$A,'Average Salary'!E:E)</f>
        <v>844.75</v>
      </c>
    </row>
    <row r="279" spans="1:6" x14ac:dyDescent="0.35">
      <c r="A279" s="4" t="s">
        <v>29</v>
      </c>
      <c r="B279" s="4">
        <v>10</v>
      </c>
      <c r="C279" s="14">
        <f>_xlfn.XLOOKUP(B279,'Average Salary'!A:A,'Average Salary'!B:B)</f>
        <v>361055.48698113207</v>
      </c>
      <c r="D279" s="14">
        <f>_xlfn.XLOOKUP($B279,'Average Salary'!$A:$A,'Average Salary'!C:C)</f>
        <v>3530</v>
      </c>
      <c r="E279" s="14">
        <f>_xlfn.XLOOKUP($B279,'Average Salary'!$A:$A,'Average Salary'!D:D)</f>
        <v>200</v>
      </c>
      <c r="F279" s="14">
        <f>_xlfn.XLOOKUP($B279,'Average Salary'!$A:$A,'Average Salary'!E:E)</f>
        <v>2500</v>
      </c>
    </row>
    <row r="280" spans="1:6" x14ac:dyDescent="0.35">
      <c r="A280" s="4" t="s">
        <v>29</v>
      </c>
      <c r="B280" s="4">
        <v>6</v>
      </c>
      <c r="C280" s="14">
        <f>_xlfn.XLOOKUP(B280,'Average Salary'!A:A,'Average Salary'!B:B)</f>
        <v>62130.000000000007</v>
      </c>
      <c r="D280" s="14">
        <f>_xlfn.XLOOKUP($B280,'Average Salary'!$A:$A,'Average Salary'!C:C)</f>
        <v>3530</v>
      </c>
      <c r="E280" s="14">
        <f>_xlfn.XLOOKUP($B280,'Average Salary'!$A:$A,'Average Salary'!D:D)</f>
        <v>200</v>
      </c>
      <c r="F280" s="14">
        <f>_xlfn.XLOOKUP($B280,'Average Salary'!$A:$A,'Average Salary'!E:E)</f>
        <v>1553.2500000000002</v>
      </c>
    </row>
    <row r="281" spans="1:6" x14ac:dyDescent="0.35">
      <c r="A281" s="4" t="s">
        <v>29</v>
      </c>
      <c r="B281" s="4">
        <v>6</v>
      </c>
      <c r="C281" s="14">
        <f>_xlfn.XLOOKUP(B281,'Average Salary'!A:A,'Average Salary'!B:B)</f>
        <v>62130.000000000007</v>
      </c>
      <c r="D281" s="14">
        <f>_xlfn.XLOOKUP($B281,'Average Salary'!$A:$A,'Average Salary'!C:C)</f>
        <v>3530</v>
      </c>
      <c r="E281" s="14">
        <f>_xlfn.XLOOKUP($B281,'Average Salary'!$A:$A,'Average Salary'!D:D)</f>
        <v>200</v>
      </c>
      <c r="F281" s="14">
        <f>_xlfn.XLOOKUP($B281,'Average Salary'!$A:$A,'Average Salary'!E:E)</f>
        <v>1553.2500000000002</v>
      </c>
    </row>
    <row r="282" spans="1:6" x14ac:dyDescent="0.35">
      <c r="A282" s="4" t="s">
        <v>29</v>
      </c>
      <c r="B282" s="4">
        <v>7</v>
      </c>
      <c r="C282" s="14">
        <f>_xlfn.XLOOKUP(B282,'Average Salary'!A:A,'Average Salary'!B:B)</f>
        <v>78480</v>
      </c>
      <c r="D282" s="14">
        <f>_xlfn.XLOOKUP($B282,'Average Salary'!$A:$A,'Average Salary'!C:C)</f>
        <v>3530</v>
      </c>
      <c r="E282" s="14">
        <f>_xlfn.XLOOKUP($B282,'Average Salary'!$A:$A,'Average Salary'!D:D)</f>
        <v>200</v>
      </c>
      <c r="F282" s="14">
        <f>_xlfn.XLOOKUP($B282,'Average Salary'!$A:$A,'Average Salary'!E:E)</f>
        <v>1962</v>
      </c>
    </row>
    <row r="283" spans="1:6" x14ac:dyDescent="0.35">
      <c r="A283" s="4" t="s">
        <v>29</v>
      </c>
      <c r="B283" s="4">
        <v>8</v>
      </c>
      <c r="C283" s="14">
        <f>_xlfn.XLOOKUP(B283,'Average Salary'!A:A,'Average Salary'!B:B)</f>
        <v>115927.90920000001</v>
      </c>
      <c r="D283" s="14">
        <f>_xlfn.XLOOKUP($B283,'Average Salary'!$A:$A,'Average Salary'!C:C)</f>
        <v>3530</v>
      </c>
      <c r="E283" s="14">
        <f>_xlfn.XLOOKUP($B283,'Average Salary'!$A:$A,'Average Salary'!D:D)</f>
        <v>200</v>
      </c>
      <c r="F283" s="14">
        <f>_xlfn.XLOOKUP($B283,'Average Salary'!$A:$A,'Average Salary'!E:E)</f>
        <v>2500</v>
      </c>
    </row>
    <row r="284" spans="1:6" x14ac:dyDescent="0.35">
      <c r="A284" s="4" t="s">
        <v>29</v>
      </c>
      <c r="B284" s="4">
        <v>3</v>
      </c>
      <c r="C284" s="14">
        <f>_xlfn.XLOOKUP(B284,'Average Salary'!A:A,'Average Salary'!B:B)</f>
        <v>25070.000000000004</v>
      </c>
      <c r="D284" s="14">
        <f>_xlfn.XLOOKUP($B284,'Average Salary'!$A:$A,'Average Salary'!C:C)</f>
        <v>2530</v>
      </c>
      <c r="E284" s="14">
        <f>_xlfn.XLOOKUP($B284,'Average Salary'!$A:$A,'Average Salary'!D:D)</f>
        <v>200</v>
      </c>
      <c r="F284" s="14">
        <f>_xlfn.XLOOKUP($B284,'Average Salary'!$A:$A,'Average Salary'!E:E)</f>
        <v>626.75000000000011</v>
      </c>
    </row>
    <row r="285" spans="1:6" x14ac:dyDescent="0.35">
      <c r="A285" s="4" t="s">
        <v>29</v>
      </c>
      <c r="B285" s="4">
        <v>4</v>
      </c>
      <c r="C285" s="14">
        <f>_xlfn.XLOOKUP(B285,'Average Salary'!A:A,'Average Salary'!B:B)</f>
        <v>33790</v>
      </c>
      <c r="D285" s="14">
        <f>_xlfn.XLOOKUP($B285,'Average Salary'!$A:$A,'Average Salary'!C:C)</f>
        <v>3430</v>
      </c>
      <c r="E285" s="14">
        <f>_xlfn.XLOOKUP($B285,'Average Salary'!$A:$A,'Average Salary'!D:D)</f>
        <v>200</v>
      </c>
      <c r="F285" s="14">
        <f>_xlfn.XLOOKUP($B285,'Average Salary'!$A:$A,'Average Salary'!E:E)</f>
        <v>844.75</v>
      </c>
    </row>
    <row r="286" spans="1:6" x14ac:dyDescent="0.35">
      <c r="A286" s="4" t="s">
        <v>29</v>
      </c>
      <c r="B286" s="4">
        <v>4</v>
      </c>
      <c r="C286" s="14">
        <f>_xlfn.XLOOKUP(B286,'Average Salary'!A:A,'Average Salary'!B:B)</f>
        <v>33790</v>
      </c>
      <c r="D286" s="14">
        <f>_xlfn.XLOOKUP($B286,'Average Salary'!$A:$A,'Average Salary'!C:C)</f>
        <v>3430</v>
      </c>
      <c r="E286" s="14">
        <f>_xlfn.XLOOKUP($B286,'Average Salary'!$A:$A,'Average Salary'!D:D)</f>
        <v>200</v>
      </c>
      <c r="F286" s="14">
        <f>_xlfn.XLOOKUP($B286,'Average Salary'!$A:$A,'Average Salary'!E:E)</f>
        <v>844.75</v>
      </c>
    </row>
    <row r="287" spans="1:6" x14ac:dyDescent="0.35">
      <c r="A287" s="4" t="s">
        <v>29</v>
      </c>
      <c r="B287" s="4">
        <v>5</v>
      </c>
      <c r="C287" s="14">
        <f>_xlfn.XLOOKUP(B287,'Average Salary'!A:A,'Average Salary'!B:B)</f>
        <v>42510</v>
      </c>
      <c r="D287" s="14">
        <f>_xlfn.XLOOKUP($B287,'Average Salary'!$A:$A,'Average Salary'!C:C)</f>
        <v>3530</v>
      </c>
      <c r="E287" s="14">
        <f>_xlfn.XLOOKUP($B287,'Average Salary'!$A:$A,'Average Salary'!D:D)</f>
        <v>200</v>
      </c>
      <c r="F287" s="14">
        <f>_xlfn.XLOOKUP($B287,'Average Salary'!$A:$A,'Average Salary'!E:E)</f>
        <v>1062.75</v>
      </c>
    </row>
    <row r="288" spans="1:6" x14ac:dyDescent="0.35">
      <c r="A288" s="4" t="s">
        <v>29</v>
      </c>
      <c r="B288" s="4">
        <v>6</v>
      </c>
      <c r="C288" s="14">
        <f>_xlfn.XLOOKUP(B288,'Average Salary'!A:A,'Average Salary'!B:B)</f>
        <v>62130.000000000007</v>
      </c>
      <c r="D288" s="14">
        <f>_xlfn.XLOOKUP($B288,'Average Salary'!$A:$A,'Average Salary'!C:C)</f>
        <v>3530</v>
      </c>
      <c r="E288" s="14">
        <f>_xlfn.XLOOKUP($B288,'Average Salary'!$A:$A,'Average Salary'!D:D)</f>
        <v>200</v>
      </c>
      <c r="F288" s="14">
        <f>_xlfn.XLOOKUP($B288,'Average Salary'!$A:$A,'Average Salary'!E:E)</f>
        <v>1553.2500000000002</v>
      </c>
    </row>
    <row r="289" spans="1:6" x14ac:dyDescent="0.35">
      <c r="A289" s="4" t="s">
        <v>29</v>
      </c>
      <c r="B289" s="4">
        <v>8</v>
      </c>
      <c r="C289" s="14">
        <f>_xlfn.XLOOKUP(B289,'Average Salary'!A:A,'Average Salary'!B:B)</f>
        <v>115927.90920000001</v>
      </c>
      <c r="D289" s="14">
        <f>_xlfn.XLOOKUP($B289,'Average Salary'!$A:$A,'Average Salary'!C:C)</f>
        <v>3530</v>
      </c>
      <c r="E289" s="14">
        <f>_xlfn.XLOOKUP($B289,'Average Salary'!$A:$A,'Average Salary'!D:D)</f>
        <v>200</v>
      </c>
      <c r="F289" s="14">
        <f>_xlfn.XLOOKUP($B289,'Average Salary'!$A:$A,'Average Salary'!E:E)</f>
        <v>2500</v>
      </c>
    </row>
    <row r="290" spans="1:6" x14ac:dyDescent="0.35">
      <c r="A290" s="4" t="s">
        <v>29</v>
      </c>
      <c r="B290" s="4">
        <v>4</v>
      </c>
      <c r="C290" s="14">
        <f>_xlfn.XLOOKUP(B290,'Average Salary'!A:A,'Average Salary'!B:B)</f>
        <v>33790</v>
      </c>
      <c r="D290" s="14">
        <f>_xlfn.XLOOKUP($B290,'Average Salary'!$A:$A,'Average Salary'!C:C)</f>
        <v>3430</v>
      </c>
      <c r="E290" s="14">
        <f>_xlfn.XLOOKUP($B290,'Average Salary'!$A:$A,'Average Salary'!D:D)</f>
        <v>200</v>
      </c>
      <c r="F290" s="14">
        <f>_xlfn.XLOOKUP($B290,'Average Salary'!$A:$A,'Average Salary'!E:E)</f>
        <v>844.75</v>
      </c>
    </row>
    <row r="291" spans="1:6" x14ac:dyDescent="0.35">
      <c r="A291" s="4" t="s">
        <v>29</v>
      </c>
      <c r="B291" s="4">
        <v>10</v>
      </c>
      <c r="C291" s="14">
        <f>_xlfn.XLOOKUP(B291,'Average Salary'!A:A,'Average Salary'!B:B)</f>
        <v>361055.48698113207</v>
      </c>
      <c r="D291" s="14">
        <f>_xlfn.XLOOKUP($B291,'Average Salary'!$A:$A,'Average Salary'!C:C)</f>
        <v>3530</v>
      </c>
      <c r="E291" s="14">
        <f>_xlfn.XLOOKUP($B291,'Average Salary'!$A:$A,'Average Salary'!D:D)</f>
        <v>200</v>
      </c>
      <c r="F291" s="14">
        <f>_xlfn.XLOOKUP($B291,'Average Salary'!$A:$A,'Average Salary'!E:E)</f>
        <v>2500</v>
      </c>
    </row>
    <row r="292" spans="1:6" x14ac:dyDescent="0.35">
      <c r="A292" s="4" t="s">
        <v>29</v>
      </c>
      <c r="B292" s="4">
        <v>7</v>
      </c>
      <c r="C292" s="14">
        <f>_xlfn.XLOOKUP(B292,'Average Salary'!A:A,'Average Salary'!B:B)</f>
        <v>78480</v>
      </c>
      <c r="D292" s="14">
        <f>_xlfn.XLOOKUP($B292,'Average Salary'!$A:$A,'Average Salary'!C:C)</f>
        <v>3530</v>
      </c>
      <c r="E292" s="14">
        <f>_xlfn.XLOOKUP($B292,'Average Salary'!$A:$A,'Average Salary'!D:D)</f>
        <v>200</v>
      </c>
      <c r="F292" s="14">
        <f>_xlfn.XLOOKUP($B292,'Average Salary'!$A:$A,'Average Salary'!E:E)</f>
        <v>1962</v>
      </c>
    </row>
    <row r="293" spans="1:6" x14ac:dyDescent="0.35">
      <c r="A293" s="4" t="s">
        <v>29</v>
      </c>
      <c r="B293" s="4">
        <v>6</v>
      </c>
      <c r="C293" s="14">
        <f>_xlfn.XLOOKUP(B293,'Average Salary'!A:A,'Average Salary'!B:B)</f>
        <v>62130.000000000007</v>
      </c>
      <c r="D293" s="14">
        <f>_xlfn.XLOOKUP($B293,'Average Salary'!$A:$A,'Average Salary'!C:C)</f>
        <v>3530</v>
      </c>
      <c r="E293" s="14">
        <f>_xlfn.XLOOKUP($B293,'Average Salary'!$A:$A,'Average Salary'!D:D)</f>
        <v>200</v>
      </c>
      <c r="F293" s="14">
        <f>_xlfn.XLOOKUP($B293,'Average Salary'!$A:$A,'Average Salary'!E:E)</f>
        <v>1553.2500000000002</v>
      </c>
    </row>
    <row r="294" spans="1:6" x14ac:dyDescent="0.35">
      <c r="A294" s="4" t="s">
        <v>29</v>
      </c>
      <c r="B294" s="4">
        <v>9</v>
      </c>
      <c r="C294" s="14">
        <f>_xlfn.XLOOKUP(B294,'Average Salary'!A:A,'Average Salary'!B:B)</f>
        <v>201377.50000000003</v>
      </c>
      <c r="D294" s="14">
        <f>_xlfn.XLOOKUP($B294,'Average Salary'!$A:$A,'Average Salary'!C:C)</f>
        <v>3530</v>
      </c>
      <c r="E294" s="14">
        <f>_xlfn.XLOOKUP($B294,'Average Salary'!$A:$A,'Average Salary'!D:D)</f>
        <v>200</v>
      </c>
      <c r="F294" s="14">
        <f>_xlfn.XLOOKUP($B294,'Average Salary'!$A:$A,'Average Salary'!E:E)</f>
        <v>2500</v>
      </c>
    </row>
    <row r="295" spans="1:6" x14ac:dyDescent="0.35">
      <c r="A295" s="4" t="s">
        <v>29</v>
      </c>
      <c r="B295" s="4">
        <v>5</v>
      </c>
      <c r="C295" s="14">
        <f>_xlfn.XLOOKUP(B295,'Average Salary'!A:A,'Average Salary'!B:B)</f>
        <v>42510</v>
      </c>
      <c r="D295" s="14">
        <f>_xlfn.XLOOKUP($B295,'Average Salary'!$A:$A,'Average Salary'!C:C)</f>
        <v>3530</v>
      </c>
      <c r="E295" s="14">
        <f>_xlfn.XLOOKUP($B295,'Average Salary'!$A:$A,'Average Salary'!D:D)</f>
        <v>200</v>
      </c>
      <c r="F295" s="14">
        <f>_xlfn.XLOOKUP($B295,'Average Salary'!$A:$A,'Average Salary'!E:E)</f>
        <v>1062.75</v>
      </c>
    </row>
    <row r="296" spans="1:6" x14ac:dyDescent="0.35">
      <c r="A296" s="4" t="s">
        <v>29</v>
      </c>
      <c r="B296" s="4">
        <v>11</v>
      </c>
      <c r="C296" s="14">
        <f>_xlfn.XLOOKUP(B296,'Average Salary'!A:A,'Average Salary'!B:B)</f>
        <v>500000</v>
      </c>
      <c r="D296" s="14">
        <f>_xlfn.XLOOKUP($B296,'Average Salary'!$A:$A,'Average Salary'!C:C)</f>
        <v>3530</v>
      </c>
      <c r="E296" s="14">
        <f>_xlfn.XLOOKUP($B296,'Average Salary'!$A:$A,'Average Salary'!D:D)</f>
        <v>200</v>
      </c>
      <c r="F296" s="14">
        <f>_xlfn.XLOOKUP($B296,'Average Salary'!$A:$A,'Average Salary'!E:E)</f>
        <v>2500</v>
      </c>
    </row>
    <row r="297" spans="1:6" x14ac:dyDescent="0.35">
      <c r="A297" s="4" t="s">
        <v>29</v>
      </c>
      <c r="B297" s="4">
        <v>4</v>
      </c>
      <c r="C297" s="14">
        <f>_xlfn.XLOOKUP(B297,'Average Salary'!A:A,'Average Salary'!B:B)</f>
        <v>33790</v>
      </c>
      <c r="D297" s="14">
        <f>_xlfn.XLOOKUP($B297,'Average Salary'!$A:$A,'Average Salary'!C:C)</f>
        <v>3430</v>
      </c>
      <c r="E297" s="14">
        <f>_xlfn.XLOOKUP($B297,'Average Salary'!$A:$A,'Average Salary'!D:D)</f>
        <v>200</v>
      </c>
      <c r="F297" s="14">
        <f>_xlfn.XLOOKUP($B297,'Average Salary'!$A:$A,'Average Salary'!E:E)</f>
        <v>844.75</v>
      </c>
    </row>
    <row r="298" spans="1:6" x14ac:dyDescent="0.35">
      <c r="A298" s="4" t="s">
        <v>29</v>
      </c>
      <c r="B298" s="4">
        <v>7</v>
      </c>
      <c r="C298" s="14">
        <f>_xlfn.XLOOKUP(B298,'Average Salary'!A:A,'Average Salary'!B:B)</f>
        <v>78480</v>
      </c>
      <c r="D298" s="14">
        <f>_xlfn.XLOOKUP($B298,'Average Salary'!$A:$A,'Average Salary'!C:C)</f>
        <v>3530</v>
      </c>
      <c r="E298" s="14">
        <f>_xlfn.XLOOKUP($B298,'Average Salary'!$A:$A,'Average Salary'!D:D)</f>
        <v>200</v>
      </c>
      <c r="F298" s="14">
        <f>_xlfn.XLOOKUP($B298,'Average Salary'!$A:$A,'Average Salary'!E:E)</f>
        <v>1962</v>
      </c>
    </row>
    <row r="299" spans="1:6" x14ac:dyDescent="0.35">
      <c r="A299" s="4" t="s">
        <v>29</v>
      </c>
      <c r="B299" s="4">
        <v>10</v>
      </c>
      <c r="C299" s="14">
        <f>_xlfn.XLOOKUP(B299,'Average Salary'!A:A,'Average Salary'!B:B)</f>
        <v>361055.48698113207</v>
      </c>
      <c r="D299" s="14">
        <f>_xlfn.XLOOKUP($B299,'Average Salary'!$A:$A,'Average Salary'!C:C)</f>
        <v>3530</v>
      </c>
      <c r="E299" s="14">
        <f>_xlfn.XLOOKUP($B299,'Average Salary'!$A:$A,'Average Salary'!D:D)</f>
        <v>200</v>
      </c>
      <c r="F299" s="14">
        <f>_xlfn.XLOOKUP($B299,'Average Salary'!$A:$A,'Average Salary'!E:E)</f>
        <v>2500</v>
      </c>
    </row>
    <row r="300" spans="1:6" x14ac:dyDescent="0.35">
      <c r="A300" s="4" t="s">
        <v>29</v>
      </c>
      <c r="B300" s="4">
        <v>7</v>
      </c>
      <c r="C300" s="14">
        <f>_xlfn.XLOOKUP(B300,'Average Salary'!A:A,'Average Salary'!B:B)</f>
        <v>78480</v>
      </c>
      <c r="D300" s="14">
        <f>_xlfn.XLOOKUP($B300,'Average Salary'!$A:$A,'Average Salary'!C:C)</f>
        <v>3530</v>
      </c>
      <c r="E300" s="14">
        <f>_xlfn.XLOOKUP($B300,'Average Salary'!$A:$A,'Average Salary'!D:D)</f>
        <v>200</v>
      </c>
      <c r="F300" s="14">
        <f>_xlfn.XLOOKUP($B300,'Average Salary'!$A:$A,'Average Salary'!E:E)</f>
        <v>1962</v>
      </c>
    </row>
    <row r="301" spans="1:6" x14ac:dyDescent="0.35">
      <c r="A301" s="4" t="s">
        <v>29</v>
      </c>
      <c r="B301" s="4">
        <v>7</v>
      </c>
      <c r="C301" s="14">
        <f>_xlfn.XLOOKUP(B301,'Average Salary'!A:A,'Average Salary'!B:B)</f>
        <v>78480</v>
      </c>
      <c r="D301" s="14">
        <f>_xlfn.XLOOKUP($B301,'Average Salary'!$A:$A,'Average Salary'!C:C)</f>
        <v>3530</v>
      </c>
      <c r="E301" s="14">
        <f>_xlfn.XLOOKUP($B301,'Average Salary'!$A:$A,'Average Salary'!D:D)</f>
        <v>200</v>
      </c>
      <c r="F301" s="14">
        <f>_xlfn.XLOOKUP($B301,'Average Salary'!$A:$A,'Average Salary'!E:E)</f>
        <v>1962</v>
      </c>
    </row>
    <row r="302" spans="1:6" x14ac:dyDescent="0.35">
      <c r="A302" s="4" t="s">
        <v>29</v>
      </c>
      <c r="B302" s="4">
        <v>6</v>
      </c>
      <c r="C302" s="14">
        <f>_xlfn.XLOOKUP(B302,'Average Salary'!A:A,'Average Salary'!B:B)</f>
        <v>62130.000000000007</v>
      </c>
      <c r="D302" s="14">
        <f>_xlfn.XLOOKUP($B302,'Average Salary'!$A:$A,'Average Salary'!C:C)</f>
        <v>3530</v>
      </c>
      <c r="E302" s="14">
        <f>_xlfn.XLOOKUP($B302,'Average Salary'!$A:$A,'Average Salary'!D:D)</f>
        <v>200</v>
      </c>
      <c r="F302" s="14">
        <f>_xlfn.XLOOKUP($B302,'Average Salary'!$A:$A,'Average Salary'!E:E)</f>
        <v>1553.2500000000002</v>
      </c>
    </row>
    <row r="303" spans="1:6" x14ac:dyDescent="0.35">
      <c r="A303" s="4" t="s">
        <v>29</v>
      </c>
      <c r="B303" s="4">
        <v>8</v>
      </c>
      <c r="C303" s="14">
        <f>_xlfn.XLOOKUP(B303,'Average Salary'!A:A,'Average Salary'!B:B)</f>
        <v>115927.90920000001</v>
      </c>
      <c r="D303" s="14">
        <f>_xlfn.XLOOKUP($B303,'Average Salary'!$A:$A,'Average Salary'!C:C)</f>
        <v>3530</v>
      </c>
      <c r="E303" s="14">
        <f>_xlfn.XLOOKUP($B303,'Average Salary'!$A:$A,'Average Salary'!D:D)</f>
        <v>200</v>
      </c>
      <c r="F303" s="14">
        <f>_xlfn.XLOOKUP($B303,'Average Salary'!$A:$A,'Average Salary'!E:E)</f>
        <v>2500</v>
      </c>
    </row>
    <row r="304" spans="1:6" x14ac:dyDescent="0.35">
      <c r="A304" s="4" t="s">
        <v>29</v>
      </c>
      <c r="B304" s="4">
        <v>4</v>
      </c>
      <c r="C304" s="14">
        <f>_xlfn.XLOOKUP(B304,'Average Salary'!A:A,'Average Salary'!B:B)</f>
        <v>33790</v>
      </c>
      <c r="D304" s="14">
        <f>_xlfn.XLOOKUP($B304,'Average Salary'!$A:$A,'Average Salary'!C:C)</f>
        <v>3430</v>
      </c>
      <c r="E304" s="14">
        <f>_xlfn.XLOOKUP($B304,'Average Salary'!$A:$A,'Average Salary'!D:D)</f>
        <v>200</v>
      </c>
      <c r="F304" s="14">
        <f>_xlfn.XLOOKUP($B304,'Average Salary'!$A:$A,'Average Salary'!E:E)</f>
        <v>844.75</v>
      </c>
    </row>
    <row r="305" spans="1:6" x14ac:dyDescent="0.35">
      <c r="A305" s="4" t="s">
        <v>29</v>
      </c>
      <c r="B305" s="4">
        <v>5</v>
      </c>
      <c r="C305" s="14">
        <f>_xlfn.XLOOKUP(B305,'Average Salary'!A:A,'Average Salary'!B:B)</f>
        <v>42510</v>
      </c>
      <c r="D305" s="14">
        <f>_xlfn.XLOOKUP($B305,'Average Salary'!$A:$A,'Average Salary'!C:C)</f>
        <v>3530</v>
      </c>
      <c r="E305" s="14">
        <f>_xlfn.XLOOKUP($B305,'Average Salary'!$A:$A,'Average Salary'!D:D)</f>
        <v>200</v>
      </c>
      <c r="F305" s="14">
        <f>_xlfn.XLOOKUP($B305,'Average Salary'!$A:$A,'Average Salary'!E:E)</f>
        <v>1062.75</v>
      </c>
    </row>
    <row r="306" spans="1:6" x14ac:dyDescent="0.35">
      <c r="A306" s="4" t="s">
        <v>29</v>
      </c>
      <c r="B306" s="4">
        <v>7</v>
      </c>
      <c r="C306" s="14">
        <f>_xlfn.XLOOKUP(B306,'Average Salary'!A:A,'Average Salary'!B:B)</f>
        <v>78480</v>
      </c>
      <c r="D306" s="14">
        <f>_xlfn.XLOOKUP($B306,'Average Salary'!$A:$A,'Average Salary'!C:C)</f>
        <v>3530</v>
      </c>
      <c r="E306" s="14">
        <f>_xlfn.XLOOKUP($B306,'Average Salary'!$A:$A,'Average Salary'!D:D)</f>
        <v>200</v>
      </c>
      <c r="F306" s="14">
        <f>_xlfn.XLOOKUP($B306,'Average Salary'!$A:$A,'Average Salary'!E:E)</f>
        <v>1962</v>
      </c>
    </row>
    <row r="307" spans="1:6" x14ac:dyDescent="0.35">
      <c r="A307" s="4" t="s">
        <v>29</v>
      </c>
      <c r="B307" s="4">
        <v>5</v>
      </c>
      <c r="C307" s="14">
        <f>_xlfn.XLOOKUP(B307,'Average Salary'!A:A,'Average Salary'!B:B)</f>
        <v>42510</v>
      </c>
      <c r="D307" s="14">
        <f>_xlfn.XLOOKUP($B307,'Average Salary'!$A:$A,'Average Salary'!C:C)</f>
        <v>3530</v>
      </c>
      <c r="E307" s="14">
        <f>_xlfn.XLOOKUP($B307,'Average Salary'!$A:$A,'Average Salary'!D:D)</f>
        <v>200</v>
      </c>
      <c r="F307" s="14">
        <f>_xlfn.XLOOKUP($B307,'Average Salary'!$A:$A,'Average Salary'!E:E)</f>
        <v>1062.75</v>
      </c>
    </row>
    <row r="308" spans="1:6" x14ac:dyDescent="0.35">
      <c r="A308" s="4" t="s">
        <v>29</v>
      </c>
      <c r="B308" s="4">
        <v>6</v>
      </c>
      <c r="C308" s="14">
        <f>_xlfn.XLOOKUP(B308,'Average Salary'!A:A,'Average Salary'!B:B)</f>
        <v>62130.000000000007</v>
      </c>
      <c r="D308" s="14">
        <f>_xlfn.XLOOKUP($B308,'Average Salary'!$A:$A,'Average Salary'!C:C)</f>
        <v>3530</v>
      </c>
      <c r="E308" s="14">
        <f>_xlfn.XLOOKUP($B308,'Average Salary'!$A:$A,'Average Salary'!D:D)</f>
        <v>200</v>
      </c>
      <c r="F308" s="14">
        <f>_xlfn.XLOOKUP($B308,'Average Salary'!$A:$A,'Average Salary'!E:E)</f>
        <v>1553.2500000000002</v>
      </c>
    </row>
    <row r="309" spans="1:6" x14ac:dyDescent="0.35">
      <c r="A309" s="4" t="s">
        <v>29</v>
      </c>
      <c r="B309" s="4">
        <v>9</v>
      </c>
      <c r="C309" s="14">
        <f>_xlfn.XLOOKUP(B309,'Average Salary'!A:A,'Average Salary'!B:B)</f>
        <v>201377.50000000003</v>
      </c>
      <c r="D309" s="14">
        <f>_xlfn.XLOOKUP($B309,'Average Salary'!$A:$A,'Average Salary'!C:C)</f>
        <v>3530</v>
      </c>
      <c r="E309" s="14">
        <f>_xlfn.XLOOKUP($B309,'Average Salary'!$A:$A,'Average Salary'!D:D)</f>
        <v>200</v>
      </c>
      <c r="F309" s="14">
        <f>_xlfn.XLOOKUP($B309,'Average Salary'!$A:$A,'Average Salary'!E:E)</f>
        <v>2500</v>
      </c>
    </row>
    <row r="310" spans="1:6" x14ac:dyDescent="0.35">
      <c r="A310" s="4" t="s">
        <v>29</v>
      </c>
      <c r="B310" s="4">
        <v>9</v>
      </c>
      <c r="C310" s="14">
        <f>_xlfn.XLOOKUP(B310,'Average Salary'!A:A,'Average Salary'!B:B)</f>
        <v>201377.50000000003</v>
      </c>
      <c r="D310" s="14">
        <f>_xlfn.XLOOKUP($B310,'Average Salary'!$A:$A,'Average Salary'!C:C)</f>
        <v>3530</v>
      </c>
      <c r="E310" s="14">
        <f>_xlfn.XLOOKUP($B310,'Average Salary'!$A:$A,'Average Salary'!D:D)</f>
        <v>200</v>
      </c>
      <c r="F310" s="14">
        <f>_xlfn.XLOOKUP($B310,'Average Salary'!$A:$A,'Average Salary'!E:E)</f>
        <v>2500</v>
      </c>
    </row>
    <row r="311" spans="1:6" x14ac:dyDescent="0.35">
      <c r="A311" s="4" t="s">
        <v>29</v>
      </c>
      <c r="B311" s="4">
        <v>5</v>
      </c>
      <c r="C311" s="14">
        <f>_xlfn.XLOOKUP(B311,'Average Salary'!A:A,'Average Salary'!B:B)</f>
        <v>42510</v>
      </c>
      <c r="D311" s="14">
        <f>_xlfn.XLOOKUP($B311,'Average Salary'!$A:$A,'Average Salary'!C:C)</f>
        <v>3530</v>
      </c>
      <c r="E311" s="14">
        <f>_xlfn.XLOOKUP($B311,'Average Salary'!$A:$A,'Average Salary'!D:D)</f>
        <v>200</v>
      </c>
      <c r="F311" s="14">
        <f>_xlfn.XLOOKUP($B311,'Average Salary'!$A:$A,'Average Salary'!E:E)</f>
        <v>1062.75</v>
      </c>
    </row>
    <row r="312" spans="1:6" x14ac:dyDescent="0.35">
      <c r="A312" s="4" t="s">
        <v>29</v>
      </c>
      <c r="B312" s="4">
        <v>8</v>
      </c>
      <c r="C312" s="14">
        <f>_xlfn.XLOOKUP(B312,'Average Salary'!A:A,'Average Salary'!B:B)</f>
        <v>115927.90920000001</v>
      </c>
      <c r="D312" s="14">
        <f>_xlfn.XLOOKUP($B312,'Average Salary'!$A:$A,'Average Salary'!C:C)</f>
        <v>3530</v>
      </c>
      <c r="E312" s="14">
        <f>_xlfn.XLOOKUP($B312,'Average Salary'!$A:$A,'Average Salary'!D:D)</f>
        <v>200</v>
      </c>
      <c r="F312" s="14">
        <f>_xlfn.XLOOKUP($B312,'Average Salary'!$A:$A,'Average Salary'!E:E)</f>
        <v>2500</v>
      </c>
    </row>
    <row r="313" spans="1:6" x14ac:dyDescent="0.35">
      <c r="A313" s="4" t="s">
        <v>29</v>
      </c>
      <c r="B313" s="4">
        <v>3</v>
      </c>
      <c r="C313" s="14">
        <f>_xlfn.XLOOKUP(B313,'Average Salary'!A:A,'Average Salary'!B:B)</f>
        <v>25070.000000000004</v>
      </c>
      <c r="D313" s="14">
        <f>_xlfn.XLOOKUP($B313,'Average Salary'!$A:$A,'Average Salary'!C:C)</f>
        <v>2530</v>
      </c>
      <c r="E313" s="14">
        <f>_xlfn.XLOOKUP($B313,'Average Salary'!$A:$A,'Average Salary'!D:D)</f>
        <v>200</v>
      </c>
      <c r="F313" s="14">
        <f>_xlfn.XLOOKUP($B313,'Average Salary'!$A:$A,'Average Salary'!E:E)</f>
        <v>626.75000000000011</v>
      </c>
    </row>
    <row r="314" spans="1:6" x14ac:dyDescent="0.35">
      <c r="A314" s="4" t="s">
        <v>29</v>
      </c>
      <c r="B314" s="4">
        <v>9</v>
      </c>
      <c r="C314" s="14">
        <f>_xlfn.XLOOKUP(B314,'Average Salary'!A:A,'Average Salary'!B:B)</f>
        <v>201377.50000000003</v>
      </c>
      <c r="D314" s="14">
        <f>_xlfn.XLOOKUP($B314,'Average Salary'!$A:$A,'Average Salary'!C:C)</f>
        <v>3530</v>
      </c>
      <c r="E314" s="14">
        <f>_xlfn.XLOOKUP($B314,'Average Salary'!$A:$A,'Average Salary'!D:D)</f>
        <v>200</v>
      </c>
      <c r="F314" s="14">
        <f>_xlfn.XLOOKUP($B314,'Average Salary'!$A:$A,'Average Salary'!E:E)</f>
        <v>2500</v>
      </c>
    </row>
    <row r="315" spans="1:6" x14ac:dyDescent="0.35">
      <c r="A315" s="4" t="s">
        <v>29</v>
      </c>
      <c r="B315" s="4">
        <v>3</v>
      </c>
      <c r="C315" s="14">
        <f>_xlfn.XLOOKUP(B315,'Average Salary'!A:A,'Average Salary'!B:B)</f>
        <v>25070.000000000004</v>
      </c>
      <c r="D315" s="14">
        <f>_xlfn.XLOOKUP($B315,'Average Salary'!$A:$A,'Average Salary'!C:C)</f>
        <v>2530</v>
      </c>
      <c r="E315" s="14">
        <f>_xlfn.XLOOKUP($B315,'Average Salary'!$A:$A,'Average Salary'!D:D)</f>
        <v>200</v>
      </c>
      <c r="F315" s="14">
        <f>_xlfn.XLOOKUP($B315,'Average Salary'!$A:$A,'Average Salary'!E:E)</f>
        <v>626.75000000000011</v>
      </c>
    </row>
    <row r="316" spans="1:6" x14ac:dyDescent="0.35">
      <c r="A316" s="4" t="s">
        <v>29</v>
      </c>
      <c r="B316" s="4">
        <v>3</v>
      </c>
      <c r="C316" s="14">
        <f>_xlfn.XLOOKUP(B316,'Average Salary'!A:A,'Average Salary'!B:B)</f>
        <v>25070.000000000004</v>
      </c>
      <c r="D316" s="14">
        <f>_xlfn.XLOOKUP($B316,'Average Salary'!$A:$A,'Average Salary'!C:C)</f>
        <v>2530</v>
      </c>
      <c r="E316" s="14">
        <f>_xlfn.XLOOKUP($B316,'Average Salary'!$A:$A,'Average Salary'!D:D)</f>
        <v>200</v>
      </c>
      <c r="F316" s="14">
        <f>_xlfn.XLOOKUP($B316,'Average Salary'!$A:$A,'Average Salary'!E:E)</f>
        <v>626.75000000000011</v>
      </c>
    </row>
    <row r="317" spans="1:6" x14ac:dyDescent="0.35">
      <c r="A317" s="4" t="s">
        <v>29</v>
      </c>
      <c r="B317" s="4">
        <v>6</v>
      </c>
      <c r="C317" s="14">
        <f>_xlfn.XLOOKUP(B317,'Average Salary'!A:A,'Average Salary'!B:B)</f>
        <v>62130.000000000007</v>
      </c>
      <c r="D317" s="14">
        <f>_xlfn.XLOOKUP($B317,'Average Salary'!$A:$A,'Average Salary'!C:C)</f>
        <v>3530</v>
      </c>
      <c r="E317" s="14">
        <f>_xlfn.XLOOKUP($B317,'Average Salary'!$A:$A,'Average Salary'!D:D)</f>
        <v>200</v>
      </c>
      <c r="F317" s="14">
        <f>_xlfn.XLOOKUP($B317,'Average Salary'!$A:$A,'Average Salary'!E:E)</f>
        <v>1553.2500000000002</v>
      </c>
    </row>
    <row r="318" spans="1:6" x14ac:dyDescent="0.35">
      <c r="A318" s="4" t="s">
        <v>29</v>
      </c>
      <c r="B318" s="4">
        <v>6</v>
      </c>
      <c r="C318" s="14">
        <f>_xlfn.XLOOKUP(B318,'Average Salary'!A:A,'Average Salary'!B:B)</f>
        <v>62130.000000000007</v>
      </c>
      <c r="D318" s="14">
        <f>_xlfn.XLOOKUP($B318,'Average Salary'!$A:$A,'Average Salary'!C:C)</f>
        <v>3530</v>
      </c>
      <c r="E318" s="14">
        <f>_xlfn.XLOOKUP($B318,'Average Salary'!$A:$A,'Average Salary'!D:D)</f>
        <v>200</v>
      </c>
      <c r="F318" s="14">
        <f>_xlfn.XLOOKUP($B318,'Average Salary'!$A:$A,'Average Salary'!E:E)</f>
        <v>1553.2500000000002</v>
      </c>
    </row>
    <row r="319" spans="1:6" x14ac:dyDescent="0.35">
      <c r="A319" s="4" t="s">
        <v>29</v>
      </c>
      <c r="B319" s="4">
        <v>11</v>
      </c>
      <c r="C319" s="14">
        <f>_xlfn.XLOOKUP(B319,'Average Salary'!A:A,'Average Salary'!B:B)</f>
        <v>500000</v>
      </c>
      <c r="D319" s="14">
        <f>_xlfn.XLOOKUP($B319,'Average Salary'!$A:$A,'Average Salary'!C:C)</f>
        <v>3530</v>
      </c>
      <c r="E319" s="14">
        <f>_xlfn.XLOOKUP($B319,'Average Salary'!$A:$A,'Average Salary'!D:D)</f>
        <v>200</v>
      </c>
      <c r="F319" s="14">
        <f>_xlfn.XLOOKUP($B319,'Average Salary'!$A:$A,'Average Salary'!E:E)</f>
        <v>2500</v>
      </c>
    </row>
    <row r="320" spans="1:6" x14ac:dyDescent="0.35">
      <c r="A320" s="4" t="s">
        <v>29</v>
      </c>
      <c r="B320" s="4">
        <v>4</v>
      </c>
      <c r="C320" s="14">
        <f>_xlfn.XLOOKUP(B320,'Average Salary'!A:A,'Average Salary'!B:B)</f>
        <v>33790</v>
      </c>
      <c r="D320" s="14">
        <f>_xlfn.XLOOKUP($B320,'Average Salary'!$A:$A,'Average Salary'!C:C)</f>
        <v>3430</v>
      </c>
      <c r="E320" s="14">
        <f>_xlfn.XLOOKUP($B320,'Average Salary'!$A:$A,'Average Salary'!D:D)</f>
        <v>200</v>
      </c>
      <c r="F320" s="14">
        <f>_xlfn.XLOOKUP($B320,'Average Salary'!$A:$A,'Average Salary'!E:E)</f>
        <v>844.75</v>
      </c>
    </row>
    <row r="321" spans="1:6" x14ac:dyDescent="0.35">
      <c r="A321" s="4" t="s">
        <v>29</v>
      </c>
      <c r="B321" s="4">
        <v>6</v>
      </c>
      <c r="C321" s="14">
        <f>_xlfn.XLOOKUP(B321,'Average Salary'!A:A,'Average Salary'!B:B)</f>
        <v>62130.000000000007</v>
      </c>
      <c r="D321" s="14">
        <f>_xlfn.XLOOKUP($B321,'Average Salary'!$A:$A,'Average Salary'!C:C)</f>
        <v>3530</v>
      </c>
      <c r="E321" s="14">
        <f>_xlfn.XLOOKUP($B321,'Average Salary'!$A:$A,'Average Salary'!D:D)</f>
        <v>200</v>
      </c>
      <c r="F321" s="14">
        <f>_xlfn.XLOOKUP($B321,'Average Salary'!$A:$A,'Average Salary'!E:E)</f>
        <v>1553.2500000000002</v>
      </c>
    </row>
    <row r="322" spans="1:6" x14ac:dyDescent="0.35">
      <c r="A322" s="4" t="s">
        <v>29</v>
      </c>
      <c r="B322" s="4">
        <v>10</v>
      </c>
      <c r="C322" s="14">
        <f>_xlfn.XLOOKUP(B322,'Average Salary'!A:A,'Average Salary'!B:B)</f>
        <v>361055.48698113207</v>
      </c>
      <c r="D322" s="14">
        <f>_xlfn.XLOOKUP($B322,'Average Salary'!$A:$A,'Average Salary'!C:C)</f>
        <v>3530</v>
      </c>
      <c r="E322" s="14">
        <f>_xlfn.XLOOKUP($B322,'Average Salary'!$A:$A,'Average Salary'!D:D)</f>
        <v>200</v>
      </c>
      <c r="F322" s="14">
        <f>_xlfn.XLOOKUP($B322,'Average Salary'!$A:$A,'Average Salary'!E:E)</f>
        <v>2500</v>
      </c>
    </row>
    <row r="323" spans="1:6" x14ac:dyDescent="0.35">
      <c r="A323" s="4" t="s">
        <v>29</v>
      </c>
      <c r="B323" s="4">
        <v>6</v>
      </c>
      <c r="C323" s="14">
        <f>_xlfn.XLOOKUP(B323,'Average Salary'!A:A,'Average Salary'!B:B)</f>
        <v>62130.000000000007</v>
      </c>
      <c r="D323" s="14">
        <f>_xlfn.XLOOKUP($B323,'Average Salary'!$A:$A,'Average Salary'!C:C)</f>
        <v>3530</v>
      </c>
      <c r="E323" s="14">
        <f>_xlfn.XLOOKUP($B323,'Average Salary'!$A:$A,'Average Salary'!D:D)</f>
        <v>200</v>
      </c>
      <c r="F323" s="14">
        <f>_xlfn.XLOOKUP($B323,'Average Salary'!$A:$A,'Average Salary'!E:E)</f>
        <v>1553.2500000000002</v>
      </c>
    </row>
    <row r="324" spans="1:6" x14ac:dyDescent="0.35">
      <c r="A324" s="4" t="s">
        <v>29</v>
      </c>
      <c r="B324" s="4">
        <v>6</v>
      </c>
      <c r="C324" s="14">
        <f>_xlfn.XLOOKUP(B324,'Average Salary'!A:A,'Average Salary'!B:B)</f>
        <v>62130.000000000007</v>
      </c>
      <c r="D324" s="14">
        <f>_xlfn.XLOOKUP($B324,'Average Salary'!$A:$A,'Average Salary'!C:C)</f>
        <v>3530</v>
      </c>
      <c r="E324" s="14">
        <f>_xlfn.XLOOKUP($B324,'Average Salary'!$A:$A,'Average Salary'!D:D)</f>
        <v>200</v>
      </c>
      <c r="F324" s="14">
        <f>_xlfn.XLOOKUP($B324,'Average Salary'!$A:$A,'Average Salary'!E:E)</f>
        <v>1553.2500000000002</v>
      </c>
    </row>
    <row r="325" spans="1:6" x14ac:dyDescent="0.35">
      <c r="A325" s="4" t="s">
        <v>29</v>
      </c>
      <c r="B325" s="4">
        <v>9</v>
      </c>
      <c r="C325" s="14">
        <f>_xlfn.XLOOKUP(B325,'Average Salary'!A:A,'Average Salary'!B:B)</f>
        <v>201377.50000000003</v>
      </c>
      <c r="D325" s="14">
        <f>_xlfn.XLOOKUP($B325,'Average Salary'!$A:$A,'Average Salary'!C:C)</f>
        <v>3530</v>
      </c>
      <c r="E325" s="14">
        <f>_xlfn.XLOOKUP($B325,'Average Salary'!$A:$A,'Average Salary'!D:D)</f>
        <v>200</v>
      </c>
      <c r="F325" s="14">
        <f>_xlfn.XLOOKUP($B325,'Average Salary'!$A:$A,'Average Salary'!E:E)</f>
        <v>2500</v>
      </c>
    </row>
    <row r="326" spans="1:6" x14ac:dyDescent="0.35">
      <c r="A326" s="4" t="s">
        <v>29</v>
      </c>
      <c r="B326" s="4">
        <v>6</v>
      </c>
      <c r="C326" s="14">
        <f>_xlfn.XLOOKUP(B326,'Average Salary'!A:A,'Average Salary'!B:B)</f>
        <v>62130.000000000007</v>
      </c>
      <c r="D326" s="14">
        <f>_xlfn.XLOOKUP($B326,'Average Salary'!$A:$A,'Average Salary'!C:C)</f>
        <v>3530</v>
      </c>
      <c r="E326" s="14">
        <f>_xlfn.XLOOKUP($B326,'Average Salary'!$A:$A,'Average Salary'!D:D)</f>
        <v>200</v>
      </c>
      <c r="F326" s="14">
        <f>_xlfn.XLOOKUP($B326,'Average Salary'!$A:$A,'Average Salary'!E:E)</f>
        <v>1553.2500000000002</v>
      </c>
    </row>
    <row r="327" spans="1:6" x14ac:dyDescent="0.35">
      <c r="A327" s="4" t="s">
        <v>29</v>
      </c>
      <c r="B327" s="4">
        <v>3</v>
      </c>
      <c r="C327" s="14">
        <f>_xlfn.XLOOKUP(B327,'Average Salary'!A:A,'Average Salary'!B:B)</f>
        <v>25070.000000000004</v>
      </c>
      <c r="D327" s="14">
        <f>_xlfn.XLOOKUP($B327,'Average Salary'!$A:$A,'Average Salary'!C:C)</f>
        <v>2530</v>
      </c>
      <c r="E327" s="14">
        <f>_xlfn.XLOOKUP($B327,'Average Salary'!$A:$A,'Average Salary'!D:D)</f>
        <v>200</v>
      </c>
      <c r="F327" s="14">
        <f>_xlfn.XLOOKUP($B327,'Average Salary'!$A:$A,'Average Salary'!E:E)</f>
        <v>626.75000000000011</v>
      </c>
    </row>
    <row r="328" spans="1:6" x14ac:dyDescent="0.35">
      <c r="A328" s="4" t="s">
        <v>29</v>
      </c>
      <c r="B328" s="4">
        <v>5</v>
      </c>
      <c r="C328" s="14">
        <f>_xlfn.XLOOKUP(B328,'Average Salary'!A:A,'Average Salary'!B:B)</f>
        <v>42510</v>
      </c>
      <c r="D328" s="14">
        <f>_xlfn.XLOOKUP($B328,'Average Salary'!$A:$A,'Average Salary'!C:C)</f>
        <v>3530</v>
      </c>
      <c r="E328" s="14">
        <f>_xlfn.XLOOKUP($B328,'Average Salary'!$A:$A,'Average Salary'!D:D)</f>
        <v>200</v>
      </c>
      <c r="F328" s="14">
        <f>_xlfn.XLOOKUP($B328,'Average Salary'!$A:$A,'Average Salary'!E:E)</f>
        <v>1062.75</v>
      </c>
    </row>
    <row r="329" spans="1:6" x14ac:dyDescent="0.35">
      <c r="A329" s="4" t="s">
        <v>29</v>
      </c>
      <c r="B329" s="4">
        <v>4</v>
      </c>
      <c r="C329" s="14">
        <f>_xlfn.XLOOKUP(B329,'Average Salary'!A:A,'Average Salary'!B:B)</f>
        <v>33790</v>
      </c>
      <c r="D329" s="14">
        <f>_xlfn.XLOOKUP($B329,'Average Salary'!$A:$A,'Average Salary'!C:C)</f>
        <v>3430</v>
      </c>
      <c r="E329" s="14">
        <f>_xlfn.XLOOKUP($B329,'Average Salary'!$A:$A,'Average Salary'!D:D)</f>
        <v>200</v>
      </c>
      <c r="F329" s="14">
        <f>_xlfn.XLOOKUP($B329,'Average Salary'!$A:$A,'Average Salary'!E:E)</f>
        <v>844.75</v>
      </c>
    </row>
    <row r="330" spans="1:6" x14ac:dyDescent="0.35">
      <c r="A330" s="4" t="s">
        <v>29</v>
      </c>
      <c r="B330" s="4">
        <v>7</v>
      </c>
      <c r="C330" s="14">
        <f>_xlfn.XLOOKUP(B330,'Average Salary'!A:A,'Average Salary'!B:B)</f>
        <v>78480</v>
      </c>
      <c r="D330" s="14">
        <f>_xlfn.XLOOKUP($B330,'Average Salary'!$A:$A,'Average Salary'!C:C)</f>
        <v>3530</v>
      </c>
      <c r="E330" s="14">
        <f>_xlfn.XLOOKUP($B330,'Average Salary'!$A:$A,'Average Salary'!D:D)</f>
        <v>200</v>
      </c>
      <c r="F330" s="14">
        <f>_xlfn.XLOOKUP($B330,'Average Salary'!$A:$A,'Average Salary'!E:E)</f>
        <v>1962</v>
      </c>
    </row>
    <row r="331" spans="1:6" x14ac:dyDescent="0.35">
      <c r="A331" s="4" t="s">
        <v>29</v>
      </c>
      <c r="B331" s="4">
        <v>7</v>
      </c>
      <c r="C331" s="14">
        <f>_xlfn.XLOOKUP(B331,'Average Salary'!A:A,'Average Salary'!B:B)</f>
        <v>78480</v>
      </c>
      <c r="D331" s="14">
        <f>_xlfn.XLOOKUP($B331,'Average Salary'!$A:$A,'Average Salary'!C:C)</f>
        <v>3530</v>
      </c>
      <c r="E331" s="14">
        <f>_xlfn.XLOOKUP($B331,'Average Salary'!$A:$A,'Average Salary'!D:D)</f>
        <v>200</v>
      </c>
      <c r="F331" s="14">
        <f>_xlfn.XLOOKUP($B331,'Average Salary'!$A:$A,'Average Salary'!E:E)</f>
        <v>1962</v>
      </c>
    </row>
    <row r="332" spans="1:6" x14ac:dyDescent="0.35">
      <c r="A332" s="4" t="s">
        <v>29</v>
      </c>
      <c r="B332" s="4">
        <v>5</v>
      </c>
      <c r="C332" s="14">
        <f>_xlfn.XLOOKUP(B332,'Average Salary'!A:A,'Average Salary'!B:B)</f>
        <v>42510</v>
      </c>
      <c r="D332" s="14">
        <f>_xlfn.XLOOKUP($B332,'Average Salary'!$A:$A,'Average Salary'!C:C)</f>
        <v>3530</v>
      </c>
      <c r="E332" s="14">
        <f>_xlfn.XLOOKUP($B332,'Average Salary'!$A:$A,'Average Salary'!D:D)</f>
        <v>200</v>
      </c>
      <c r="F332" s="14">
        <f>_xlfn.XLOOKUP($B332,'Average Salary'!$A:$A,'Average Salary'!E:E)</f>
        <v>1062.75</v>
      </c>
    </row>
    <row r="333" spans="1:6" x14ac:dyDescent="0.35">
      <c r="A333" s="4" t="s">
        <v>40</v>
      </c>
      <c r="B333" s="4">
        <v>2</v>
      </c>
      <c r="C333" s="14">
        <f>_xlfn.XLOOKUP(B333,'Average Salary'!A:A,'Average Salary'!B:B)</f>
        <v>25070.000000000004</v>
      </c>
      <c r="D333" s="14">
        <f>_xlfn.XLOOKUP($B333,'Average Salary'!$A:$A,'Average Salary'!C:C)</f>
        <v>0</v>
      </c>
      <c r="E333" s="14">
        <f>_xlfn.XLOOKUP($B333,'Average Salary'!$A:$A,'Average Salary'!D:D)</f>
        <v>0</v>
      </c>
      <c r="F333" s="14">
        <f>_xlfn.XLOOKUP($B333,'Average Salary'!$A:$A,'Average Salary'!E:E)</f>
        <v>0</v>
      </c>
    </row>
    <row r="334" spans="1:6" x14ac:dyDescent="0.35">
      <c r="A334" s="4" t="s">
        <v>40</v>
      </c>
      <c r="B334" s="4">
        <v>2</v>
      </c>
      <c r="C334" s="14">
        <f>_xlfn.XLOOKUP(B334,'Average Salary'!A:A,'Average Salary'!B:B)</f>
        <v>25070.000000000004</v>
      </c>
      <c r="D334" s="14">
        <f>_xlfn.XLOOKUP($B334,'Average Salary'!$A:$A,'Average Salary'!C:C)</f>
        <v>0</v>
      </c>
      <c r="E334" s="14">
        <f>_xlfn.XLOOKUP($B334,'Average Salary'!$A:$A,'Average Salary'!D:D)</f>
        <v>0</v>
      </c>
      <c r="F334" s="14">
        <f>_xlfn.XLOOKUP($B334,'Average Salary'!$A:$A,'Average Salary'!E:E)</f>
        <v>0</v>
      </c>
    </row>
    <row r="335" spans="1:6" x14ac:dyDescent="0.35">
      <c r="A335" s="4" t="s">
        <v>40</v>
      </c>
      <c r="B335" s="4">
        <v>2</v>
      </c>
      <c r="C335" s="14">
        <f>_xlfn.XLOOKUP(B335,'Average Salary'!A:A,'Average Salary'!B:B)</f>
        <v>25070.000000000004</v>
      </c>
      <c r="D335" s="14">
        <f>_xlfn.XLOOKUP($B335,'Average Salary'!$A:$A,'Average Salary'!C:C)</f>
        <v>0</v>
      </c>
      <c r="E335" s="14">
        <f>_xlfn.XLOOKUP($B335,'Average Salary'!$A:$A,'Average Salary'!D:D)</f>
        <v>0</v>
      </c>
      <c r="F335" s="14">
        <f>_xlfn.XLOOKUP($B335,'Average Salary'!$A:$A,'Average Salary'!E:E)</f>
        <v>0</v>
      </c>
    </row>
    <row r="336" spans="1:6" x14ac:dyDescent="0.35">
      <c r="A336" s="4" t="s">
        <v>40</v>
      </c>
      <c r="B336" s="4">
        <v>2</v>
      </c>
      <c r="C336" s="14">
        <f>_xlfn.XLOOKUP(B336,'Average Salary'!A:A,'Average Salary'!B:B)</f>
        <v>25070.000000000004</v>
      </c>
      <c r="D336" s="14">
        <f>_xlfn.XLOOKUP($B336,'Average Salary'!$A:$A,'Average Salary'!C:C)</f>
        <v>0</v>
      </c>
      <c r="E336" s="14">
        <f>_xlfn.XLOOKUP($B336,'Average Salary'!$A:$A,'Average Salary'!D:D)</f>
        <v>0</v>
      </c>
      <c r="F336" s="14">
        <f>_xlfn.XLOOKUP($B336,'Average Salary'!$A:$A,'Average Salary'!E:E)</f>
        <v>0</v>
      </c>
    </row>
    <row r="337" spans="1:6" x14ac:dyDescent="0.35">
      <c r="A337" s="4" t="s">
        <v>40</v>
      </c>
      <c r="B337" s="4">
        <v>2</v>
      </c>
      <c r="C337" s="14">
        <f>_xlfn.XLOOKUP(B337,'Average Salary'!A:A,'Average Salary'!B:B)</f>
        <v>25070.000000000004</v>
      </c>
      <c r="D337" s="14">
        <f>_xlfn.XLOOKUP($B337,'Average Salary'!$A:$A,'Average Salary'!C:C)</f>
        <v>0</v>
      </c>
      <c r="E337" s="14">
        <f>_xlfn.XLOOKUP($B337,'Average Salary'!$A:$A,'Average Salary'!D:D)</f>
        <v>0</v>
      </c>
      <c r="F337" s="14">
        <f>_xlfn.XLOOKUP($B337,'Average Salary'!$A:$A,'Average Salary'!E:E)</f>
        <v>0</v>
      </c>
    </row>
    <row r="338" spans="1:6" x14ac:dyDescent="0.35">
      <c r="A338" s="4" t="s">
        <v>40</v>
      </c>
      <c r="B338" s="4">
        <v>2</v>
      </c>
      <c r="C338" s="14">
        <f>_xlfn.XLOOKUP(B338,'Average Salary'!A:A,'Average Salary'!B:B)</f>
        <v>25070.000000000004</v>
      </c>
      <c r="D338" s="14">
        <f>_xlfn.XLOOKUP($B338,'Average Salary'!$A:$A,'Average Salary'!C:C)</f>
        <v>0</v>
      </c>
      <c r="E338" s="14">
        <f>_xlfn.XLOOKUP($B338,'Average Salary'!$A:$A,'Average Salary'!D:D)</f>
        <v>0</v>
      </c>
      <c r="F338" s="14">
        <f>_xlfn.XLOOKUP($B338,'Average Salary'!$A:$A,'Average Salary'!E:E)</f>
        <v>0</v>
      </c>
    </row>
    <row r="339" spans="1:6" x14ac:dyDescent="0.35">
      <c r="A339" s="4" t="s">
        <v>40</v>
      </c>
      <c r="B339" s="4">
        <v>2</v>
      </c>
      <c r="C339" s="14">
        <f>_xlfn.XLOOKUP(B339,'Average Salary'!A:A,'Average Salary'!B:B)</f>
        <v>25070.000000000004</v>
      </c>
      <c r="D339" s="14">
        <f>_xlfn.XLOOKUP($B339,'Average Salary'!$A:$A,'Average Salary'!C:C)</f>
        <v>0</v>
      </c>
      <c r="E339" s="14">
        <f>_xlfn.XLOOKUP($B339,'Average Salary'!$A:$A,'Average Salary'!D:D)</f>
        <v>0</v>
      </c>
      <c r="F339" s="14">
        <f>_xlfn.XLOOKUP($B339,'Average Salary'!$A:$A,'Average Salary'!E:E)</f>
        <v>0</v>
      </c>
    </row>
    <row r="340" spans="1:6" x14ac:dyDescent="0.35">
      <c r="A340" s="4" t="s">
        <v>40</v>
      </c>
      <c r="B340" s="4">
        <v>2</v>
      </c>
      <c r="C340" s="14">
        <f>_xlfn.XLOOKUP(B340,'Average Salary'!A:A,'Average Salary'!B:B)</f>
        <v>25070.000000000004</v>
      </c>
      <c r="D340" s="14">
        <f>_xlfn.XLOOKUP($B340,'Average Salary'!$A:$A,'Average Salary'!C:C)</f>
        <v>0</v>
      </c>
      <c r="E340" s="14">
        <f>_xlfn.XLOOKUP($B340,'Average Salary'!$A:$A,'Average Salary'!D:D)</f>
        <v>0</v>
      </c>
      <c r="F340" s="14">
        <f>_xlfn.XLOOKUP($B340,'Average Salary'!$A:$A,'Average Salary'!E:E)</f>
        <v>0</v>
      </c>
    </row>
    <row r="341" spans="1:6" x14ac:dyDescent="0.35">
      <c r="A341" s="4" t="s">
        <v>40</v>
      </c>
      <c r="B341" s="4">
        <v>2</v>
      </c>
      <c r="C341" s="14">
        <f>_xlfn.XLOOKUP(B341,'Average Salary'!A:A,'Average Salary'!B:B)</f>
        <v>25070.000000000004</v>
      </c>
      <c r="D341" s="14">
        <f>_xlfn.XLOOKUP($B341,'Average Salary'!$A:$A,'Average Salary'!C:C)</f>
        <v>0</v>
      </c>
      <c r="E341" s="14">
        <f>_xlfn.XLOOKUP($B341,'Average Salary'!$A:$A,'Average Salary'!D:D)</f>
        <v>0</v>
      </c>
      <c r="F341" s="14">
        <f>_xlfn.XLOOKUP($B341,'Average Salary'!$A:$A,'Average Salary'!E:E)</f>
        <v>0</v>
      </c>
    </row>
    <row r="342" spans="1:6" x14ac:dyDescent="0.35">
      <c r="A342" s="4" t="s">
        <v>40</v>
      </c>
      <c r="B342" s="4">
        <v>2</v>
      </c>
      <c r="C342" s="14">
        <f>_xlfn.XLOOKUP(B342,'Average Salary'!A:A,'Average Salary'!B:B)</f>
        <v>25070.000000000004</v>
      </c>
      <c r="D342" s="14">
        <f>_xlfn.XLOOKUP($B342,'Average Salary'!$A:$A,'Average Salary'!C:C)</f>
        <v>0</v>
      </c>
      <c r="E342" s="14">
        <f>_xlfn.XLOOKUP($B342,'Average Salary'!$A:$A,'Average Salary'!D:D)</f>
        <v>0</v>
      </c>
      <c r="F342" s="14">
        <f>_xlfn.XLOOKUP($B342,'Average Salary'!$A:$A,'Average Salary'!E:E)</f>
        <v>0</v>
      </c>
    </row>
    <row r="343" spans="1:6" x14ac:dyDescent="0.35">
      <c r="A343" s="4" t="s">
        <v>40</v>
      </c>
      <c r="B343" s="4">
        <v>2</v>
      </c>
      <c r="C343" s="14">
        <f>_xlfn.XLOOKUP(B343,'Average Salary'!A:A,'Average Salary'!B:B)</f>
        <v>25070.000000000004</v>
      </c>
      <c r="D343" s="14">
        <f>_xlfn.XLOOKUP($B343,'Average Salary'!$A:$A,'Average Salary'!C:C)</f>
        <v>0</v>
      </c>
      <c r="E343" s="14">
        <f>_xlfn.XLOOKUP($B343,'Average Salary'!$A:$A,'Average Salary'!D:D)</f>
        <v>0</v>
      </c>
      <c r="F343" s="14">
        <f>_xlfn.XLOOKUP($B343,'Average Salary'!$A:$A,'Average Salary'!E:E)</f>
        <v>0</v>
      </c>
    </row>
    <row r="344" spans="1:6" x14ac:dyDescent="0.35">
      <c r="A344" s="4" t="s">
        <v>40</v>
      </c>
      <c r="B344" s="4">
        <v>2</v>
      </c>
      <c r="C344" s="14">
        <f>_xlfn.XLOOKUP(B344,'Average Salary'!A:A,'Average Salary'!B:B)</f>
        <v>25070.000000000004</v>
      </c>
      <c r="D344" s="14">
        <f>_xlfn.XLOOKUP($B344,'Average Salary'!$A:$A,'Average Salary'!C:C)</f>
        <v>0</v>
      </c>
      <c r="E344" s="14">
        <f>_xlfn.XLOOKUP($B344,'Average Salary'!$A:$A,'Average Salary'!D:D)</f>
        <v>0</v>
      </c>
      <c r="F344" s="14">
        <f>_xlfn.XLOOKUP($B344,'Average Salary'!$A:$A,'Average Salary'!E:E)</f>
        <v>0</v>
      </c>
    </row>
    <row r="345" spans="1:6" x14ac:dyDescent="0.35">
      <c r="A345" s="4" t="s">
        <v>40</v>
      </c>
      <c r="B345" s="4">
        <v>2</v>
      </c>
      <c r="C345" s="14">
        <f>_xlfn.XLOOKUP(B345,'Average Salary'!A:A,'Average Salary'!B:B)</f>
        <v>25070.000000000004</v>
      </c>
      <c r="D345" s="14">
        <f>_xlfn.XLOOKUP($B345,'Average Salary'!$A:$A,'Average Salary'!C:C)</f>
        <v>0</v>
      </c>
      <c r="E345" s="14">
        <f>_xlfn.XLOOKUP($B345,'Average Salary'!$A:$A,'Average Salary'!D:D)</f>
        <v>0</v>
      </c>
      <c r="F345" s="14">
        <f>_xlfn.XLOOKUP($B345,'Average Salary'!$A:$A,'Average Salary'!E:E)</f>
        <v>0</v>
      </c>
    </row>
    <row r="346" spans="1:6" x14ac:dyDescent="0.35">
      <c r="A346" s="4" t="s">
        <v>40</v>
      </c>
      <c r="B346" s="4">
        <v>2</v>
      </c>
      <c r="C346" s="14">
        <f>_xlfn.XLOOKUP(B346,'Average Salary'!A:A,'Average Salary'!B:B)</f>
        <v>25070.000000000004</v>
      </c>
      <c r="D346" s="14">
        <f>_xlfn.XLOOKUP($B346,'Average Salary'!$A:$A,'Average Salary'!C:C)</f>
        <v>0</v>
      </c>
      <c r="E346" s="14">
        <f>_xlfn.XLOOKUP($B346,'Average Salary'!$A:$A,'Average Salary'!D:D)</f>
        <v>0</v>
      </c>
      <c r="F346" s="14">
        <f>_xlfn.XLOOKUP($B346,'Average Salary'!$A:$A,'Average Salary'!E:E)</f>
        <v>0</v>
      </c>
    </row>
    <row r="347" spans="1:6" x14ac:dyDescent="0.35">
      <c r="A347" s="4" t="s">
        <v>40</v>
      </c>
      <c r="B347" s="4">
        <v>2</v>
      </c>
      <c r="C347" s="14">
        <f>_xlfn.XLOOKUP(B347,'Average Salary'!A:A,'Average Salary'!B:B)</f>
        <v>25070.000000000004</v>
      </c>
      <c r="D347" s="14">
        <f>_xlfn.XLOOKUP($B347,'Average Salary'!$A:$A,'Average Salary'!C:C)</f>
        <v>0</v>
      </c>
      <c r="E347" s="14">
        <f>_xlfn.XLOOKUP($B347,'Average Salary'!$A:$A,'Average Salary'!D:D)</f>
        <v>0</v>
      </c>
      <c r="F347" s="14">
        <f>_xlfn.XLOOKUP($B347,'Average Salary'!$A:$A,'Average Salary'!E:E)</f>
        <v>0</v>
      </c>
    </row>
    <row r="348" spans="1:6" x14ac:dyDescent="0.35">
      <c r="A348" s="4" t="s">
        <v>40</v>
      </c>
      <c r="B348" s="4">
        <v>2</v>
      </c>
      <c r="C348" s="14">
        <f>_xlfn.XLOOKUP(B348,'Average Salary'!A:A,'Average Salary'!B:B)</f>
        <v>25070.000000000004</v>
      </c>
      <c r="D348" s="14">
        <f>_xlfn.XLOOKUP($B348,'Average Salary'!$A:$A,'Average Salary'!C:C)</f>
        <v>0</v>
      </c>
      <c r="E348" s="14">
        <f>_xlfn.XLOOKUP($B348,'Average Salary'!$A:$A,'Average Salary'!D:D)</f>
        <v>0</v>
      </c>
      <c r="F348" s="14">
        <f>_xlfn.XLOOKUP($B348,'Average Salary'!$A:$A,'Average Salary'!E:E)</f>
        <v>0</v>
      </c>
    </row>
    <row r="349" spans="1:6" x14ac:dyDescent="0.35">
      <c r="A349" s="4" t="s">
        <v>40</v>
      </c>
      <c r="B349" s="4">
        <v>2</v>
      </c>
      <c r="C349" s="14">
        <f>_xlfn.XLOOKUP(B349,'Average Salary'!A:A,'Average Salary'!B:B)</f>
        <v>25070.000000000004</v>
      </c>
      <c r="D349" s="14">
        <f>_xlfn.XLOOKUP($B349,'Average Salary'!$A:$A,'Average Salary'!C:C)</f>
        <v>0</v>
      </c>
      <c r="E349" s="14">
        <f>_xlfn.XLOOKUP($B349,'Average Salary'!$A:$A,'Average Salary'!D:D)</f>
        <v>0</v>
      </c>
      <c r="F349" s="14">
        <f>_xlfn.XLOOKUP($B349,'Average Salary'!$A:$A,'Average Salary'!E:E)</f>
        <v>0</v>
      </c>
    </row>
    <row r="350" spans="1:6" x14ac:dyDescent="0.35">
      <c r="A350" s="4" t="s">
        <v>40</v>
      </c>
      <c r="B350" s="4">
        <v>2</v>
      </c>
      <c r="C350" s="14">
        <f>_xlfn.XLOOKUP(B350,'Average Salary'!A:A,'Average Salary'!B:B)</f>
        <v>25070.000000000004</v>
      </c>
      <c r="D350" s="14">
        <f>_xlfn.XLOOKUP($B350,'Average Salary'!$A:$A,'Average Salary'!C:C)</f>
        <v>0</v>
      </c>
      <c r="E350" s="14">
        <f>_xlfn.XLOOKUP($B350,'Average Salary'!$A:$A,'Average Salary'!D:D)</f>
        <v>0</v>
      </c>
      <c r="F350" s="14">
        <f>_xlfn.XLOOKUP($B350,'Average Salary'!$A:$A,'Average Salary'!E:E)</f>
        <v>0</v>
      </c>
    </row>
    <row r="351" spans="1:6" x14ac:dyDescent="0.35">
      <c r="A351" s="4" t="s">
        <v>40</v>
      </c>
      <c r="B351" s="4">
        <v>2</v>
      </c>
      <c r="C351" s="14">
        <f>_xlfn.XLOOKUP(B351,'Average Salary'!A:A,'Average Salary'!B:B)</f>
        <v>25070.000000000004</v>
      </c>
      <c r="D351" s="14">
        <f>_xlfn.XLOOKUP($B351,'Average Salary'!$A:$A,'Average Salary'!C:C)</f>
        <v>0</v>
      </c>
      <c r="E351" s="14">
        <f>_xlfn.XLOOKUP($B351,'Average Salary'!$A:$A,'Average Salary'!D:D)</f>
        <v>0</v>
      </c>
      <c r="F351" s="14">
        <f>_xlfn.XLOOKUP($B351,'Average Salary'!$A:$A,'Average Salary'!E:E)</f>
        <v>0</v>
      </c>
    </row>
  </sheetData>
  <autoFilter ref="A7:F351" xr:uid="{789E7D11-EEEA-4C1D-B28D-993BA3CC8AD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2A82-4498-40F3-8ACA-1E3C7D5B7111}">
  <dimension ref="A1:E14"/>
  <sheetViews>
    <sheetView zoomScale="80" zoomScaleNormal="80" workbookViewId="0">
      <selection activeCell="A13" sqref="A13"/>
    </sheetView>
  </sheetViews>
  <sheetFormatPr defaultRowHeight="14.5" x14ac:dyDescent="0.35"/>
  <cols>
    <col min="1" max="1" width="36.36328125" bestFit="1" customWidth="1"/>
    <col min="2" max="5" width="19.08984375" customWidth="1"/>
  </cols>
  <sheetData>
    <row r="1" spans="1:5" x14ac:dyDescent="0.35">
      <c r="A1" s="3" t="s">
        <v>27</v>
      </c>
    </row>
    <row r="2" spans="1:5" x14ac:dyDescent="0.35">
      <c r="A2" s="3" t="s">
        <v>36</v>
      </c>
    </row>
    <row r="5" spans="1:5" x14ac:dyDescent="0.35">
      <c r="A5" s="18" t="s">
        <v>35</v>
      </c>
      <c r="B5" s="19" t="s">
        <v>29</v>
      </c>
      <c r="C5" s="19" t="s">
        <v>30</v>
      </c>
      <c r="D5" s="19" t="s">
        <v>31</v>
      </c>
      <c r="E5" s="19" t="s">
        <v>33</v>
      </c>
    </row>
    <row r="6" spans="1:5" x14ac:dyDescent="0.35">
      <c r="A6" s="23" t="s">
        <v>36</v>
      </c>
      <c r="B6" s="25"/>
      <c r="C6" s="25"/>
      <c r="D6" s="25"/>
      <c r="E6" s="25"/>
    </row>
    <row r="7" spans="1:5" x14ac:dyDescent="0.35">
      <c r="A7" t="s">
        <v>3</v>
      </c>
      <c r="B7" s="1">
        <f>('Headcount per Company'!E6*'Average Salary'!$B6)+('Headcount per Company'!E7*'Average Salary'!$B7)+('Headcount per Company'!E8*'Average Salary'!$B8)+('Headcount per Company'!E9*'Average Salary'!$B9)+('Headcount per Company'!E10*'Average Salary'!$B10)+('Headcount per Company'!E11*'Average Salary'!$B11)+('Headcount per Company'!E12*'Average Salary'!$B12)+('Headcount per Company'!E13*'Average Salary'!$B13)+('Headcount per Company'!E14*'Average Salary'!$B14)+('Headcount per Company'!E15*'Average Salary'!$B15)+('Headcount per Company'!E16*'Average Salary'!$B16)+('Headcount per Company'!E17*'Average Salary'!$B17)</f>
        <v>19120946.118573584</v>
      </c>
      <c r="C7" s="1">
        <f>('Headcount per Company'!B6*'Average Salary'!$B6)+('Headcount per Company'!B7*'Average Salary'!$B7)+('Headcount per Company'!B8*'Average Salary'!$B8)+('Headcount per Company'!B9*'Average Salary'!$B9)+('Headcount per Company'!B10*'Average Salary'!$B10)+('Headcount per Company'!B11*'Average Salary'!$B11)+('Headcount per Company'!B12*'Average Salary'!$B12)+('Headcount per Company'!B13*'Average Salary'!$B13)+('Headcount per Company'!B14*'Average Salary'!$B14)+('Headcount per Company'!B15*'Average Salary'!$B15)+('Headcount per Company'!B16*'Average Salary'!$B16)+('Headcount per Company'!B17*'Average Salary'!$B17)</f>
        <v>4184384.9552000002</v>
      </c>
      <c r="D7" s="1">
        <f>('Headcount per Company'!C6*'Average Salary'!$B6)+('Headcount per Company'!C7*'Average Salary'!$B7)+('Headcount per Company'!C8*'Average Salary'!$B8)+('Headcount per Company'!C9*'Average Salary'!$B9)+('Headcount per Company'!C10*'Average Salary'!$B10)+('Headcount per Company'!C11*'Average Salary'!$B11)+('Headcount per Company'!C12*'Average Salary'!$B12)+('Headcount per Company'!C13*'Average Salary'!$B13)+('Headcount per Company'!C14*'Average Salary'!$B14)+('Headcount per Company'!C15*'Average Salary'!$B15)+('Headcount per Company'!C16*'Average Salary'!$B16)+('Headcount per Company'!C17*'Average Salary'!$B17)</f>
        <v>2225927.4552000002</v>
      </c>
      <c r="E7" s="1">
        <f>SUM(B7:D7)</f>
        <v>25531258.528973587</v>
      </c>
    </row>
    <row r="8" spans="1:5" x14ac:dyDescent="0.35">
      <c r="A8" t="s">
        <v>37</v>
      </c>
      <c r="B8" s="1">
        <f>B7*2/12</f>
        <v>3186824.3530955971</v>
      </c>
      <c r="C8" s="1">
        <f>C7*2/12</f>
        <v>697397.49253333337</v>
      </c>
      <c r="D8" s="1">
        <f>D7*2/12</f>
        <v>370987.90920000005</v>
      </c>
      <c r="E8" s="1">
        <f t="shared" ref="E8:E9" si="0">SUM(B8:D8)</f>
        <v>4255209.7548289299</v>
      </c>
    </row>
    <row r="9" spans="1:5" x14ac:dyDescent="0.35">
      <c r="A9" t="s">
        <v>0</v>
      </c>
      <c r="B9" s="1">
        <f>('Headcount per Company'!E6*'Average Salary'!$C6)+('Headcount per Company'!E7*'Average Salary'!$C7)+('Headcount per Company'!E8*'Average Salary'!$C8)+('Headcount per Company'!E9*'Average Salary'!$C9)+('Headcount per Company'!E10*'Average Salary'!$C10)+('Headcount per Company'!E11*'Average Salary'!$C11)+('Headcount per Company'!E12*'Average Salary'!$C12)+('Headcount per Company'!E13*'Average Salary'!$C13)+('Headcount per Company'!E14*'Average Salary'!$C14)+('Headcount per Company'!E15*'Average Salary'!$C15)+('Headcount per Company'!E16*'Average Salary'!$C16)+('Headcount per Company'!E17*'Average Salary'!$C17)</f>
        <v>589990</v>
      </c>
      <c r="C9" s="1">
        <f>('Headcount per Company'!B6*'Average Salary'!$C6)+('Headcount per Company'!B7*'Average Salary'!$C7)+('Headcount per Company'!B8*'Average Salary'!$C8)+('Headcount per Company'!B9*'Average Salary'!$C9)+('Headcount per Company'!B10*'Average Salary'!$C10)+('Headcount per Company'!B11*'Average Salary'!$C11)+('Headcount per Company'!B12*'Average Salary'!$C12)+('Headcount per Company'!B13*'Average Salary'!$C13)+('Headcount per Company'!B14*'Average Salary'!$C14)+('Headcount per Company'!B15*'Average Salary'!$C15)+('Headcount per Company'!B16*'Average Salary'!$C16)+('Headcount per Company'!B17*'Average Salary'!$C17)</f>
        <v>278250</v>
      </c>
      <c r="D9" s="1">
        <f>('Headcount per Company'!C6*'Average Salary'!$C6)+('Headcount per Company'!C7*'Average Salary'!$C7)+('Headcount per Company'!C8*'Average Salary'!$C8)+('Headcount per Company'!C9*'Average Salary'!$C9)+('Headcount per Company'!C10*'Average Salary'!$C10)+('Headcount per Company'!C11*'Average Salary'!$C11)+('Headcount per Company'!C12*'Average Salary'!$C12)+('Headcount per Company'!C13*'Average Salary'!$C13)+('Headcount per Company'!C14*'Average Salary'!$C14)+('Headcount per Company'!C15*'Average Salary'!$C15)+('Headcount per Company'!C16*'Average Salary'!$C16)+('Headcount per Company'!C17*'Average Salary'!$C17)</f>
        <v>150010</v>
      </c>
      <c r="E9" s="1">
        <f t="shared" si="0"/>
        <v>1018250</v>
      </c>
    </row>
    <row r="10" spans="1:5" x14ac:dyDescent="0.35">
      <c r="A10" t="s">
        <v>1</v>
      </c>
      <c r="B10" s="1">
        <f>('Headcount per Company'!E6*'Average Salary'!$D6)+('Headcount per Company'!E7*'Average Salary'!$D7)+('Headcount per Company'!E8*'Average Salary'!$D8)+('Headcount per Company'!E9*'Average Salary'!$D9)+('Headcount per Company'!E10*'Average Salary'!$D10)+('Headcount per Company'!E11*'Average Salary'!$D11)+('Headcount per Company'!E12*'Average Salary'!$D12)+('Headcount per Company'!E13*'Average Salary'!$D13)+('Headcount per Company'!E14*'Average Salary'!$D14)+('Headcount per Company'!E15*'Average Salary'!$D15)+('Headcount per Company'!E16*'Average Salary'!$D16)+('Headcount per Company'!E17*'Average Salary'!$D17)</f>
        <v>34600</v>
      </c>
      <c r="C10" s="1">
        <f>('Headcount per Company'!B6*'Average Salary'!$D6)+('Headcount per Company'!B7*'Average Salary'!$D7)+('Headcount per Company'!B8*'Average Salary'!$D8)+('Headcount per Company'!B9*'Average Salary'!$D9)+('Headcount per Company'!B10*'Average Salary'!$D10)+('Headcount per Company'!B11*'Average Salary'!$D11)+('Headcount per Company'!B12*'Average Salary'!$D12)+('Headcount per Company'!B13*'Average Salary'!$D13)+('Headcount per Company'!B14*'Average Salary'!$D14)+('Headcount per Company'!B15*'Average Salary'!$D15)+('Headcount per Company'!B16*'Average Salary'!$D16)+('Headcount per Company'!B17*'Average Salary'!$D17)</f>
        <v>17000</v>
      </c>
      <c r="D10" s="1">
        <f>('Headcount per Company'!C6*'Average Salary'!$D6)+('Headcount per Company'!C7*'Average Salary'!$D7)+('Headcount per Company'!C8*'Average Salary'!$D8)+('Headcount per Company'!C9*'Average Salary'!$D9)+('Headcount per Company'!C10*'Average Salary'!$D10)+('Headcount per Company'!C11*'Average Salary'!$D11)+('Headcount per Company'!C12*'Average Salary'!$D12)+('Headcount per Company'!C13*'Average Salary'!$D13)+('Headcount per Company'!C14*'Average Salary'!$D14)+('Headcount per Company'!C15*'Average Salary'!$D15)+('Headcount per Company'!C16*'Average Salary'!$D16)+('Headcount per Company'!C17*'Average Salary'!$D17)</f>
        <v>9400</v>
      </c>
      <c r="E10" s="1">
        <f>SUM(B10:D10)</f>
        <v>61000</v>
      </c>
    </row>
    <row r="11" spans="1:5" x14ac:dyDescent="0.35">
      <c r="A11" t="s">
        <v>2</v>
      </c>
      <c r="B11" s="24">
        <f>('Headcount per Company'!E6*'Average Salary'!$E6)+('Headcount per Company'!E7*'Average Salary'!$E7)+('Headcount per Company'!E8*'Average Salary'!$E8)+('Headcount per Company'!E9*'Average Salary'!$E9)+('Headcount per Company'!E10*'Average Salary'!$E10)+('Headcount per Company'!E11*'Average Salary'!$E11)+('Headcount per Company'!E12*'Average Salary'!$E12)+('Headcount per Company'!E13*'Average Salary'!$E13)+('Headcount per Company'!E14*'Average Salary'!$E14)+('Headcount per Company'!E15*'Average Salary'!$E15)+('Headcount per Company'!E16*'Average Salary'!$E16)+('Headcount per Company'!E17*'Average Salary'!$E17)</f>
        <v>279228</v>
      </c>
      <c r="C11" s="24">
        <f>('Headcount per Company'!B6*'Average Salary'!$E6)+('Headcount per Company'!B7*'Average Salary'!$E7)+('Headcount per Company'!B8*'Average Salary'!$E8)+('Headcount per Company'!B9*'Average Salary'!$E9)+('Headcount per Company'!B10*'Average Salary'!$E10)+('Headcount per Company'!B11*'Average Salary'!$E11)+('Headcount per Company'!B12*'Average Salary'!$E12)+('Headcount per Company'!B13*'Average Salary'!$E13)+('Headcount per Company'!B14*'Average Salary'!$E14)+('Headcount per Company'!B15*'Average Salary'!$E15)+('Headcount per Company'!B16*'Average Salary'!$E16)+('Headcount per Company'!B17*'Average Salary'!$E17)</f>
        <v>99686</v>
      </c>
      <c r="D11" s="24">
        <f>('Headcount per Company'!C6*'Average Salary'!$E6)+('Headcount per Company'!C7*'Average Salary'!$E7)+('Headcount per Company'!C8*'Average Salary'!$E8)+('Headcount per Company'!C9*'Average Salary'!$E9)+('Headcount per Company'!C10*'Average Salary'!$E10)+('Headcount per Company'!C11*'Average Salary'!$E11)+('Headcount per Company'!C12*'Average Salary'!$E12)+('Headcount per Company'!C13*'Average Salary'!$E13)+('Headcount per Company'!C14*'Average Salary'!$E14)+('Headcount per Company'!C15*'Average Salary'!$E15)+('Headcount per Company'!C16*'Average Salary'!$E16)+('Headcount per Company'!C17*'Average Salary'!$E17)</f>
        <v>53259</v>
      </c>
      <c r="E11" s="24">
        <f>SUM(B11:D11)</f>
        <v>432173</v>
      </c>
    </row>
    <row r="12" spans="1:5" x14ac:dyDescent="0.35">
      <c r="A12" s="22" t="s">
        <v>33</v>
      </c>
      <c r="B12" s="1">
        <f>SUM(B7:B11)</f>
        <v>23211588.471669182</v>
      </c>
      <c r="C12" s="1">
        <f t="shared" ref="C12:E12" si="1">SUM(C7:C11)</f>
        <v>5276718.4477333333</v>
      </c>
      <c r="D12" s="1">
        <f t="shared" si="1"/>
        <v>2809584.3644000003</v>
      </c>
      <c r="E12" s="1">
        <f t="shared" si="1"/>
        <v>31297891.283802517</v>
      </c>
    </row>
    <row r="13" spans="1:5" x14ac:dyDescent="0.35">
      <c r="E13" s="1">
        <f>E12-E8</f>
        <v>27042681.528973587</v>
      </c>
    </row>
    <row r="14" spans="1:5" x14ac:dyDescent="0.35">
      <c r="E1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C9AB4-7127-4C64-AD57-62D31C4B256F}">
  <sheetPr>
    <tabColor theme="9" tint="0.79998168889431442"/>
  </sheetPr>
  <dimension ref="A1:E19"/>
  <sheetViews>
    <sheetView tabSelected="1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21" sqref="D21"/>
    </sheetView>
  </sheetViews>
  <sheetFormatPr defaultRowHeight="14.5" x14ac:dyDescent="0.35"/>
  <cols>
    <col min="1" max="1" width="12.36328125" style="2" customWidth="1"/>
    <col min="2" max="2" width="18.54296875" bestFit="1" customWidth="1"/>
    <col min="3" max="3" width="32.6328125" bestFit="1" customWidth="1"/>
    <col min="4" max="4" width="36.26953125" bestFit="1" customWidth="1"/>
    <col min="5" max="5" width="37.90625" bestFit="1" customWidth="1"/>
    <col min="6" max="6" width="12.90625" bestFit="1" customWidth="1"/>
  </cols>
  <sheetData>
    <row r="1" spans="1:5" x14ac:dyDescent="0.35">
      <c r="A1" s="3" t="s">
        <v>27</v>
      </c>
    </row>
    <row r="2" spans="1:5" x14ac:dyDescent="0.35">
      <c r="A2" s="3" t="s">
        <v>28</v>
      </c>
    </row>
    <row r="3" spans="1:5" x14ac:dyDescent="0.35">
      <c r="A3" s="3"/>
    </row>
    <row r="4" spans="1:5" x14ac:dyDescent="0.35">
      <c r="B4" s="5" t="s">
        <v>26</v>
      </c>
      <c r="C4" s="5" t="s">
        <v>26</v>
      </c>
      <c r="D4" s="5" t="s">
        <v>26</v>
      </c>
      <c r="E4" s="5" t="s">
        <v>26</v>
      </c>
    </row>
    <row r="5" spans="1:5" x14ac:dyDescent="0.35">
      <c r="A5" s="17" t="s">
        <v>32</v>
      </c>
      <c r="B5" s="17" t="s">
        <v>5</v>
      </c>
      <c r="C5" s="17" t="s">
        <v>0</v>
      </c>
      <c r="D5" s="17" t="s">
        <v>1</v>
      </c>
      <c r="E5" s="17" t="s">
        <v>2</v>
      </c>
    </row>
    <row r="6" spans="1:5" x14ac:dyDescent="0.35">
      <c r="A6" s="2">
        <v>1</v>
      </c>
      <c r="B6" s="13">
        <v>32379.409200000002</v>
      </c>
      <c r="C6" s="13">
        <v>3280</v>
      </c>
      <c r="D6" s="13">
        <v>200</v>
      </c>
      <c r="E6" s="13">
        <f>B6*0.05/2</f>
        <v>809.48523000000012</v>
      </c>
    </row>
    <row r="7" spans="1:5" x14ac:dyDescent="0.35">
      <c r="A7" s="2">
        <v>2</v>
      </c>
      <c r="B7" s="13">
        <v>25070.000000000004</v>
      </c>
      <c r="C7" s="13">
        <v>0</v>
      </c>
      <c r="D7" s="13">
        <v>0</v>
      </c>
      <c r="E7" s="13">
        <v>0</v>
      </c>
    </row>
    <row r="8" spans="1:5" x14ac:dyDescent="0.35">
      <c r="A8" s="2">
        <v>3</v>
      </c>
      <c r="B8" s="13">
        <v>25070.000000000004</v>
      </c>
      <c r="C8" s="13">
        <v>2530</v>
      </c>
      <c r="D8" s="13">
        <v>200</v>
      </c>
      <c r="E8" s="13">
        <f>B8*0.05/2</f>
        <v>626.75000000000011</v>
      </c>
    </row>
    <row r="9" spans="1:5" x14ac:dyDescent="0.35">
      <c r="A9" s="2">
        <f>A8+1</f>
        <v>4</v>
      </c>
      <c r="B9" s="13">
        <v>33790</v>
      </c>
      <c r="C9" s="13">
        <v>3430</v>
      </c>
      <c r="D9" s="13">
        <v>200</v>
      </c>
      <c r="E9" s="13">
        <f>B9*0.05/2</f>
        <v>844.75</v>
      </c>
    </row>
    <row r="10" spans="1:5" x14ac:dyDescent="0.35">
      <c r="A10" s="2">
        <f t="shared" ref="A10:A17" si="0">A9+1</f>
        <v>5</v>
      </c>
      <c r="B10" s="13">
        <v>42510</v>
      </c>
      <c r="C10" s="13">
        <v>3530</v>
      </c>
      <c r="D10" s="13">
        <v>200</v>
      </c>
      <c r="E10" s="13">
        <f t="shared" ref="E10:E12" si="1">B10*0.05/2</f>
        <v>1062.75</v>
      </c>
    </row>
    <row r="11" spans="1:5" x14ac:dyDescent="0.35">
      <c r="A11" s="2">
        <f t="shared" si="0"/>
        <v>6</v>
      </c>
      <c r="B11" s="13">
        <v>62130.000000000007</v>
      </c>
      <c r="C11" s="13">
        <v>3530</v>
      </c>
      <c r="D11" s="13">
        <v>200</v>
      </c>
      <c r="E11" s="13">
        <f t="shared" si="1"/>
        <v>1553.2500000000002</v>
      </c>
    </row>
    <row r="12" spans="1:5" x14ac:dyDescent="0.35">
      <c r="A12" s="2">
        <f t="shared" si="0"/>
        <v>7</v>
      </c>
      <c r="B12" s="13">
        <v>78480</v>
      </c>
      <c r="C12" s="13">
        <v>3530</v>
      </c>
      <c r="D12" s="13">
        <v>200</v>
      </c>
      <c r="E12" s="13">
        <f t="shared" si="1"/>
        <v>1962</v>
      </c>
    </row>
    <row r="13" spans="1:5" x14ac:dyDescent="0.35">
      <c r="A13" s="2">
        <f t="shared" si="0"/>
        <v>8</v>
      </c>
      <c r="B13" s="13">
        <v>115927.90920000001</v>
      </c>
      <c r="C13" s="13">
        <v>3530</v>
      </c>
      <c r="D13" s="13">
        <v>200</v>
      </c>
      <c r="E13" s="13">
        <v>2500</v>
      </c>
    </row>
    <row r="14" spans="1:5" x14ac:dyDescent="0.35">
      <c r="A14" s="2">
        <f t="shared" si="0"/>
        <v>9</v>
      </c>
      <c r="B14" s="13">
        <v>201377.50000000003</v>
      </c>
      <c r="C14" s="13">
        <v>3530</v>
      </c>
      <c r="D14" s="13">
        <v>200</v>
      </c>
      <c r="E14" s="13">
        <v>2500</v>
      </c>
    </row>
    <row r="15" spans="1:5" x14ac:dyDescent="0.35">
      <c r="A15" s="2">
        <f t="shared" si="0"/>
        <v>10</v>
      </c>
      <c r="B15" s="13">
        <v>361055.48698113207</v>
      </c>
      <c r="C15" s="13">
        <v>3530</v>
      </c>
      <c r="D15" s="13">
        <v>200</v>
      </c>
      <c r="E15" s="13">
        <v>2500</v>
      </c>
    </row>
    <row r="16" spans="1:5" x14ac:dyDescent="0.35">
      <c r="A16" s="2">
        <f t="shared" si="0"/>
        <v>11</v>
      </c>
      <c r="B16" s="13">
        <v>500000</v>
      </c>
      <c r="C16" s="13">
        <v>3530</v>
      </c>
      <c r="D16" s="13">
        <v>200</v>
      </c>
      <c r="E16" s="13">
        <v>2500</v>
      </c>
    </row>
    <row r="17" spans="1:5" x14ac:dyDescent="0.35">
      <c r="A17" s="2">
        <f t="shared" si="0"/>
        <v>12</v>
      </c>
      <c r="B17" s="13">
        <v>600000</v>
      </c>
      <c r="C17" s="13">
        <v>3530</v>
      </c>
      <c r="D17" s="13">
        <v>200</v>
      </c>
      <c r="E17" s="13">
        <v>2500</v>
      </c>
    </row>
    <row r="18" spans="1:5" x14ac:dyDescent="0.35">
      <c r="B18" s="1"/>
    </row>
    <row r="19" spans="1:5" x14ac:dyDescent="0.35">
      <c r="B19" s="1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C0CF6-0EDA-4444-853D-1F1783FC5582}">
  <sheetPr>
    <tabColor theme="9" tint="0.79998168889431442"/>
  </sheetPr>
  <dimension ref="A1:H18"/>
  <sheetViews>
    <sheetView zoomScale="77" zoomScaleNormal="80" workbookViewId="0">
      <selection activeCell="C13" sqref="C13"/>
    </sheetView>
  </sheetViews>
  <sheetFormatPr defaultRowHeight="14.5" x14ac:dyDescent="0.35"/>
  <cols>
    <col min="1" max="1" width="13.26953125" customWidth="1"/>
    <col min="2" max="7" width="19.54296875" customWidth="1"/>
  </cols>
  <sheetData>
    <row r="1" spans="1:8" x14ac:dyDescent="0.35">
      <c r="A1" s="3" t="s">
        <v>27</v>
      </c>
    </row>
    <row r="2" spans="1:8" x14ac:dyDescent="0.35">
      <c r="A2" s="3" t="s">
        <v>34</v>
      </c>
    </row>
    <row r="4" spans="1:8" x14ac:dyDescent="0.35">
      <c r="B4" s="5" t="s">
        <v>26</v>
      </c>
      <c r="C4" s="5" t="s">
        <v>26</v>
      </c>
      <c r="D4" s="5" t="s">
        <v>26</v>
      </c>
      <c r="E4" s="5" t="s">
        <v>26</v>
      </c>
      <c r="F4" s="5" t="s">
        <v>26</v>
      </c>
      <c r="G4" s="5" t="s">
        <v>26</v>
      </c>
    </row>
    <row r="5" spans="1:8" x14ac:dyDescent="0.35">
      <c r="A5" s="17" t="s">
        <v>32</v>
      </c>
      <c r="B5" s="19" t="s">
        <v>30</v>
      </c>
      <c r="C5" s="19" t="s">
        <v>31</v>
      </c>
      <c r="D5" s="19" t="s">
        <v>38</v>
      </c>
      <c r="E5" s="19" t="s">
        <v>29</v>
      </c>
      <c r="F5" s="19" t="s">
        <v>39</v>
      </c>
      <c r="G5" s="19" t="s">
        <v>40</v>
      </c>
      <c r="H5" s="19" t="s">
        <v>33</v>
      </c>
    </row>
    <row r="6" spans="1:8" x14ac:dyDescent="0.35">
      <c r="A6" s="2">
        <v>1</v>
      </c>
      <c r="B6" s="4">
        <f>COUNTIFS('Employee List'!$B:$B,'Headcount per Company'!$A6,'Employee List'!$A:$A,'Headcount per Company'!B$5)</f>
        <v>0</v>
      </c>
      <c r="C6" s="4">
        <f>COUNTIFS('Employee List'!$B:$B,'Headcount per Company'!$A6,'Employee List'!$A:$A,'Headcount per Company'!C$5)</f>
        <v>0</v>
      </c>
      <c r="D6" s="4">
        <f>COUNTIFS('Employee List'!$B:$B,'Headcount per Company'!$A6,'Employee List'!$A:$A,'Headcount per Company'!D$5)</f>
        <v>16</v>
      </c>
      <c r="E6" s="4">
        <f>COUNTIFS('Employee List'!$B:$B,'Headcount per Company'!$A6,'Employee List'!$A:$A,'Headcount per Company'!E$5)</f>
        <v>0</v>
      </c>
      <c r="F6" s="4">
        <f>COUNTIFS('Employee List'!$B:$B,'Headcount per Company'!$A6,'Employee List'!$A:$A,'Headcount per Company'!F$5)</f>
        <v>4</v>
      </c>
      <c r="G6" s="4">
        <f>COUNTIFS('Employee List'!$B:$B,'Headcount per Company'!$A6,'Employee List'!$A:$A,'Headcount per Company'!G$5)</f>
        <v>0</v>
      </c>
      <c r="H6">
        <f>SUM(B6:G6)</f>
        <v>20</v>
      </c>
    </row>
    <row r="7" spans="1:8" x14ac:dyDescent="0.35">
      <c r="A7" s="2">
        <v>2</v>
      </c>
      <c r="B7" s="4">
        <f>COUNTIFS('Employee List'!$B:$B,'Headcount per Company'!$A7,'Employee List'!$A:$A,'Headcount per Company'!B$5)</f>
        <v>0</v>
      </c>
      <c r="C7" s="4">
        <f>COUNTIFS('Employee List'!$B:$B,'Headcount per Company'!$A7,'Employee List'!$A:$A,'Headcount per Company'!C$5)</f>
        <v>0</v>
      </c>
      <c r="D7" s="4">
        <f>COUNTIFS('Employee List'!$B:$B,'Headcount per Company'!$A7,'Employee List'!$A:$A,'Headcount per Company'!D$5)</f>
        <v>0</v>
      </c>
      <c r="E7" s="4">
        <f>COUNTIFS('Employee List'!$B:$B,'Headcount per Company'!$A7,'Employee List'!$A:$A,'Headcount per Company'!E$5)</f>
        <v>0</v>
      </c>
      <c r="F7" s="4">
        <f>COUNTIFS('Employee List'!$B:$B,'Headcount per Company'!$A7,'Employee List'!$A:$A,'Headcount per Company'!F$5)</f>
        <v>0</v>
      </c>
      <c r="G7" s="4">
        <f>COUNTIFS('Employee List'!$B:$B,'Headcount per Company'!$A7,'Employee List'!$A:$A,'Headcount per Company'!G$5)</f>
        <v>19</v>
      </c>
      <c r="H7">
        <f t="shared" ref="H7:H17" si="0">SUM(B7:G7)</f>
        <v>19</v>
      </c>
    </row>
    <row r="8" spans="1:8" x14ac:dyDescent="0.35">
      <c r="A8" s="2">
        <v>3</v>
      </c>
      <c r="B8" s="4">
        <f>COUNTIFS('Employee List'!$B:$B,'Headcount per Company'!$A8,'Employee List'!$A:$A,'Headcount per Company'!B$5)</f>
        <v>20</v>
      </c>
      <c r="C8" s="4">
        <f>COUNTIFS('Employee List'!$B:$B,'Headcount per Company'!$A8,'Employee List'!$A:$A,'Headcount per Company'!C$5)</f>
        <v>15</v>
      </c>
      <c r="D8" s="4">
        <f>COUNTIFS('Employee List'!$B:$B,'Headcount per Company'!$A8,'Employee List'!$A:$A,'Headcount per Company'!D$5)</f>
        <v>0</v>
      </c>
      <c r="E8" s="4">
        <f>COUNTIFS('Employee List'!$B:$B,'Headcount per Company'!$A8,'Employee List'!$A:$A,'Headcount per Company'!E$5)</f>
        <v>18</v>
      </c>
      <c r="F8" s="4">
        <f>COUNTIFS('Employee List'!$B:$B,'Headcount per Company'!$A8,'Employee List'!$A:$A,'Headcount per Company'!F$5)</f>
        <v>0</v>
      </c>
      <c r="G8" s="4">
        <f>COUNTIFS('Employee List'!$B:$B,'Headcount per Company'!$A8,'Employee List'!$A:$A,'Headcount per Company'!G$5)</f>
        <v>0</v>
      </c>
      <c r="H8">
        <f t="shared" si="0"/>
        <v>53</v>
      </c>
    </row>
    <row r="9" spans="1:8" x14ac:dyDescent="0.35">
      <c r="A9" s="2">
        <f>A8+1</f>
        <v>4</v>
      </c>
      <c r="B9" s="4">
        <f>COUNTIFS('Employee List'!$B:$B,'Headcount per Company'!$A9,'Employee List'!$A:$A,'Headcount per Company'!B$5)</f>
        <v>18</v>
      </c>
      <c r="C9" s="4">
        <f>COUNTIFS('Employee List'!$B:$B,'Headcount per Company'!$A9,'Employee List'!$A:$A,'Headcount per Company'!C$5)</f>
        <v>9</v>
      </c>
      <c r="D9" s="4">
        <f>COUNTIFS('Employee List'!$B:$B,'Headcount per Company'!$A9,'Employee List'!$A:$A,'Headcount per Company'!D$5)</f>
        <v>0</v>
      </c>
      <c r="E9" s="4">
        <f>COUNTIFS('Employee List'!$B:$B,'Headcount per Company'!$A9,'Employee List'!$A:$A,'Headcount per Company'!E$5)</f>
        <v>27</v>
      </c>
      <c r="F9" s="4">
        <f>COUNTIFS('Employee List'!$B:$B,'Headcount per Company'!$A9,'Employee List'!$A:$A,'Headcount per Company'!F$5)</f>
        <v>0</v>
      </c>
      <c r="G9" s="4">
        <f>COUNTIFS('Employee List'!$B:$B,'Headcount per Company'!$A9,'Employee List'!$A:$A,'Headcount per Company'!G$5)</f>
        <v>0</v>
      </c>
      <c r="H9">
        <f t="shared" si="0"/>
        <v>54</v>
      </c>
    </row>
    <row r="10" spans="1:8" x14ac:dyDescent="0.35">
      <c r="A10" s="2">
        <f t="shared" ref="A10:A17" si="1">A9+1</f>
        <v>5</v>
      </c>
      <c r="B10" s="4">
        <f>COUNTIFS('Employee List'!$B:$B,'Headcount per Company'!$A10,'Employee List'!$A:$A,'Headcount per Company'!B$5)</f>
        <v>24</v>
      </c>
      <c r="C10" s="4">
        <f>COUNTIFS('Employee List'!$B:$B,'Headcount per Company'!$A10,'Employee List'!$A:$A,'Headcount per Company'!C$5)</f>
        <v>13</v>
      </c>
      <c r="D10" s="4">
        <f>COUNTIFS('Employee List'!$B:$B,'Headcount per Company'!$A10,'Employee List'!$A:$A,'Headcount per Company'!D$5)</f>
        <v>0</v>
      </c>
      <c r="E10" s="4">
        <f>COUNTIFS('Employee List'!$B:$B,'Headcount per Company'!$A10,'Employee List'!$A:$A,'Headcount per Company'!E$5)</f>
        <v>24</v>
      </c>
      <c r="F10" s="4">
        <f>COUNTIFS('Employee List'!$B:$B,'Headcount per Company'!$A10,'Employee List'!$A:$A,'Headcount per Company'!F$5)</f>
        <v>0</v>
      </c>
      <c r="G10" s="4">
        <f>COUNTIFS('Employee List'!$B:$B,'Headcount per Company'!$A10,'Employee List'!$A:$A,'Headcount per Company'!G$5)</f>
        <v>0</v>
      </c>
      <c r="H10">
        <f t="shared" si="0"/>
        <v>61</v>
      </c>
    </row>
    <row r="11" spans="1:8" x14ac:dyDescent="0.35">
      <c r="A11" s="2">
        <f t="shared" si="1"/>
        <v>6</v>
      </c>
      <c r="B11" s="4">
        <f>COUNTIFS('Employee List'!$B:$B,'Headcount per Company'!$A11,'Employee List'!$A:$A,'Headcount per Company'!B$5)</f>
        <v>6</v>
      </c>
      <c r="C11" s="4">
        <f>COUNTIFS('Employee List'!$B:$B,'Headcount per Company'!$A11,'Employee List'!$A:$A,'Headcount per Company'!C$5)</f>
        <v>1</v>
      </c>
      <c r="D11" s="4">
        <f>COUNTIFS('Employee List'!$B:$B,'Headcount per Company'!$A11,'Employee List'!$A:$A,'Headcount per Company'!D$5)</f>
        <v>0</v>
      </c>
      <c r="E11" s="4">
        <f>COUNTIFS('Employee List'!$B:$B,'Headcount per Company'!$A11,'Employee List'!$A:$A,'Headcount per Company'!E$5)</f>
        <v>29</v>
      </c>
      <c r="F11" s="4">
        <f>COUNTIFS('Employee List'!$B:$B,'Headcount per Company'!$A11,'Employee List'!$A:$A,'Headcount per Company'!F$5)</f>
        <v>0</v>
      </c>
      <c r="G11" s="4">
        <f>COUNTIFS('Employee List'!$B:$B,'Headcount per Company'!$A11,'Employee List'!$A:$A,'Headcount per Company'!G$5)</f>
        <v>0</v>
      </c>
      <c r="H11">
        <f t="shared" si="0"/>
        <v>36</v>
      </c>
    </row>
    <row r="12" spans="1:8" x14ac:dyDescent="0.35">
      <c r="A12" s="2">
        <f t="shared" si="1"/>
        <v>7</v>
      </c>
      <c r="B12" s="4">
        <f>COUNTIFS('Employee List'!$B:$B,'Headcount per Company'!$A12,'Employee List'!$A:$A,'Headcount per Company'!B$5)</f>
        <v>10</v>
      </c>
      <c r="C12" s="4">
        <f>COUNTIFS('Employee List'!$B:$B,'Headcount per Company'!$A12,'Employee List'!$A:$A,'Headcount per Company'!C$5)</f>
        <v>3</v>
      </c>
      <c r="D12" s="4">
        <f>COUNTIFS('Employee List'!$B:$B,'Headcount per Company'!$A12,'Employee List'!$A:$A,'Headcount per Company'!D$5)</f>
        <v>0</v>
      </c>
      <c r="E12" s="4">
        <f>COUNTIFS('Employee List'!$B:$B,'Headcount per Company'!$A12,'Employee List'!$A:$A,'Headcount per Company'!E$5)</f>
        <v>24</v>
      </c>
      <c r="F12" s="4">
        <f>COUNTIFS('Employee List'!$B:$B,'Headcount per Company'!$A12,'Employee List'!$A:$A,'Headcount per Company'!F$5)</f>
        <v>0</v>
      </c>
      <c r="G12" s="4">
        <f>COUNTIFS('Employee List'!$B:$B,'Headcount per Company'!$A12,'Employee List'!$A:$A,'Headcount per Company'!G$5)</f>
        <v>0</v>
      </c>
      <c r="H12">
        <f t="shared" si="0"/>
        <v>37</v>
      </c>
    </row>
    <row r="13" spans="1:8" x14ac:dyDescent="0.35">
      <c r="A13" s="2">
        <f t="shared" si="1"/>
        <v>8</v>
      </c>
      <c r="B13" s="4">
        <f>COUNTIFS('Employee List'!$B:$B,'Headcount per Company'!$A13,'Employee List'!$A:$A,'Headcount per Company'!B$5)</f>
        <v>6</v>
      </c>
      <c r="C13" s="4">
        <f>COUNTIFS('Employee List'!$B:$B,'Headcount per Company'!$A13,'Employee List'!$A:$A,'Headcount per Company'!C$5)</f>
        <v>6</v>
      </c>
      <c r="D13" s="4">
        <f>COUNTIFS('Employee List'!$B:$B,'Headcount per Company'!$A13,'Employee List'!$A:$A,'Headcount per Company'!D$5)</f>
        <v>0</v>
      </c>
      <c r="E13" s="4">
        <f>COUNTIFS('Employee List'!$B:$B,'Headcount per Company'!$A13,'Employee List'!$A:$A,'Headcount per Company'!E$5)</f>
        <v>19</v>
      </c>
      <c r="F13" s="4">
        <f>COUNTIFS('Employee List'!$B:$B,'Headcount per Company'!$A13,'Employee List'!$A:$A,'Headcount per Company'!F$5)</f>
        <v>0</v>
      </c>
      <c r="G13" s="4">
        <f>COUNTIFS('Employee List'!$B:$B,'Headcount per Company'!$A13,'Employee List'!$A:$A,'Headcount per Company'!G$5)</f>
        <v>0</v>
      </c>
      <c r="H13">
        <f t="shared" si="0"/>
        <v>31</v>
      </c>
    </row>
    <row r="14" spans="1:8" x14ac:dyDescent="0.35">
      <c r="A14" s="2">
        <f t="shared" si="1"/>
        <v>9</v>
      </c>
      <c r="B14" s="4">
        <f>COUNTIFS('Employee List'!$B:$B,'Headcount per Company'!$A14,'Employee List'!$A:$A,'Headcount per Company'!B$5)</f>
        <v>1</v>
      </c>
      <c r="C14" s="4">
        <f>COUNTIFS('Employee List'!$B:$B,'Headcount per Company'!$A14,'Employee List'!$A:$A,'Headcount per Company'!C$5)</f>
        <v>0</v>
      </c>
      <c r="D14" s="4">
        <f>COUNTIFS('Employee List'!$B:$B,'Headcount per Company'!$A14,'Employee List'!$A:$A,'Headcount per Company'!D$5)</f>
        <v>0</v>
      </c>
      <c r="E14" s="4">
        <f>COUNTIFS('Employee List'!$B:$B,'Headcount per Company'!$A14,'Employee List'!$A:$A,'Headcount per Company'!E$5)</f>
        <v>12</v>
      </c>
      <c r="F14" s="4">
        <f>COUNTIFS('Employee List'!$B:$B,'Headcount per Company'!$A14,'Employee List'!$A:$A,'Headcount per Company'!F$5)</f>
        <v>0</v>
      </c>
      <c r="G14" s="4">
        <f>COUNTIFS('Employee List'!$B:$B,'Headcount per Company'!$A14,'Employee List'!$A:$A,'Headcount per Company'!G$5)</f>
        <v>0</v>
      </c>
      <c r="H14">
        <f t="shared" si="0"/>
        <v>13</v>
      </c>
    </row>
    <row r="15" spans="1:8" x14ac:dyDescent="0.35">
      <c r="A15" s="2">
        <f t="shared" si="1"/>
        <v>10</v>
      </c>
      <c r="B15" s="4">
        <f>COUNTIFS('Employee List'!$B:$B,'Headcount per Company'!$A15,'Employee List'!$A:$A,'Headcount per Company'!B$5)</f>
        <v>0</v>
      </c>
      <c r="C15" s="4">
        <f>COUNTIFS('Employee List'!$B:$B,'Headcount per Company'!$A15,'Employee List'!$A:$A,'Headcount per Company'!C$5)</f>
        <v>0</v>
      </c>
      <c r="D15" s="4">
        <f>COUNTIFS('Employee List'!$B:$B,'Headcount per Company'!$A15,'Employee List'!$A:$A,'Headcount per Company'!D$5)</f>
        <v>0</v>
      </c>
      <c r="E15" s="4">
        <f>COUNTIFS('Employee List'!$B:$B,'Headcount per Company'!$A15,'Employee List'!$A:$A,'Headcount per Company'!E$5)</f>
        <v>12</v>
      </c>
      <c r="F15" s="4">
        <f>COUNTIFS('Employee List'!$B:$B,'Headcount per Company'!$A15,'Employee List'!$A:$A,'Headcount per Company'!F$5)</f>
        <v>0</v>
      </c>
      <c r="G15" s="4">
        <f>COUNTIFS('Employee List'!$B:$B,'Headcount per Company'!$A15,'Employee List'!$A:$A,'Headcount per Company'!G$5)</f>
        <v>0</v>
      </c>
      <c r="H15">
        <f t="shared" si="0"/>
        <v>12</v>
      </c>
    </row>
    <row r="16" spans="1:8" x14ac:dyDescent="0.35">
      <c r="A16" s="2">
        <f t="shared" si="1"/>
        <v>11</v>
      </c>
      <c r="B16" s="4">
        <f>COUNTIFS('Employee List'!$B:$B,'Headcount per Company'!$A16,'Employee List'!$A:$A,'Headcount per Company'!B$5)</f>
        <v>0</v>
      </c>
      <c r="C16" s="4">
        <f>COUNTIFS('Employee List'!$B:$B,'Headcount per Company'!$A16,'Employee List'!$A:$A,'Headcount per Company'!C$5)</f>
        <v>0</v>
      </c>
      <c r="D16" s="4">
        <f>COUNTIFS('Employee List'!$B:$B,'Headcount per Company'!$A16,'Employee List'!$A:$A,'Headcount per Company'!D$5)</f>
        <v>0</v>
      </c>
      <c r="E16" s="4">
        <f>COUNTIFS('Employee List'!$B:$B,'Headcount per Company'!$A16,'Employee List'!$A:$A,'Headcount per Company'!E$5)</f>
        <v>7</v>
      </c>
      <c r="F16" s="4">
        <f>COUNTIFS('Employee List'!$B:$B,'Headcount per Company'!$A16,'Employee List'!$A:$A,'Headcount per Company'!F$5)</f>
        <v>0</v>
      </c>
      <c r="G16" s="4">
        <f>COUNTIFS('Employee List'!$B:$B,'Headcount per Company'!$A16,'Employee List'!$A:$A,'Headcount per Company'!G$5)</f>
        <v>0</v>
      </c>
      <c r="H16">
        <f t="shared" si="0"/>
        <v>7</v>
      </c>
    </row>
    <row r="17" spans="1:8" x14ac:dyDescent="0.35">
      <c r="A17" s="2">
        <f t="shared" si="1"/>
        <v>12</v>
      </c>
      <c r="B17" s="20">
        <f>COUNTIFS('Employee List'!$B:$B,'Headcount per Company'!$A17,'Employee List'!$A:$A,'Headcount per Company'!B$5)</f>
        <v>0</v>
      </c>
      <c r="C17" s="20">
        <f>COUNTIFS('Employee List'!$B:$B,'Headcount per Company'!$A17,'Employee List'!$A:$A,'Headcount per Company'!C$5)</f>
        <v>0</v>
      </c>
      <c r="D17" s="20">
        <f>COUNTIFS('Employee List'!$B:$B,'Headcount per Company'!$A17,'Employee List'!$A:$A,'Headcount per Company'!D$5)</f>
        <v>0</v>
      </c>
      <c r="E17" s="20">
        <f>COUNTIFS('Employee List'!$B:$B,'Headcount per Company'!$A17,'Employee List'!$A:$A,'Headcount per Company'!E$5)</f>
        <v>1</v>
      </c>
      <c r="F17" s="20">
        <f>COUNTIFS('Employee List'!$B:$B,'Headcount per Company'!$A17,'Employee List'!$A:$A,'Headcount per Company'!F$5)</f>
        <v>0</v>
      </c>
      <c r="G17" s="20">
        <f>COUNTIFS('Employee List'!$B:$B,'Headcount per Company'!$A17,'Employee List'!$A:$A,'Headcount per Company'!G$5)</f>
        <v>0</v>
      </c>
      <c r="H17" s="21">
        <f t="shared" si="0"/>
        <v>1</v>
      </c>
    </row>
    <row r="18" spans="1:8" x14ac:dyDescent="0.35">
      <c r="A18" s="2" t="s">
        <v>33</v>
      </c>
      <c r="B18">
        <f t="shared" ref="B18:H18" si="2">SUM(B6:B17)</f>
        <v>85</v>
      </c>
      <c r="C18">
        <f t="shared" si="2"/>
        <v>47</v>
      </c>
      <c r="D18">
        <f t="shared" si="2"/>
        <v>16</v>
      </c>
      <c r="E18">
        <f>SUM(E6:E17)</f>
        <v>173</v>
      </c>
      <c r="F18">
        <f t="shared" si="2"/>
        <v>4</v>
      </c>
      <c r="G18">
        <f t="shared" si="2"/>
        <v>19</v>
      </c>
      <c r="H18">
        <f t="shared" si="2"/>
        <v>344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2C1BA-BBCD-418E-A0A5-FF4D5711A87A}">
  <dimension ref="A1:I72"/>
  <sheetViews>
    <sheetView zoomScale="70" zoomScaleNormal="70" workbookViewId="0">
      <selection activeCell="F14" sqref="F14"/>
    </sheetView>
  </sheetViews>
  <sheetFormatPr defaultRowHeight="14.5" x14ac:dyDescent="0.35"/>
  <cols>
    <col min="1" max="2" width="14" customWidth="1"/>
    <col min="3" max="3" width="15" customWidth="1"/>
    <col min="4" max="4" width="12" customWidth="1"/>
    <col min="5" max="6" width="15" customWidth="1"/>
    <col min="7" max="7" width="12" customWidth="1"/>
    <col min="8" max="8" width="10" customWidth="1"/>
    <col min="9" max="9" width="15" customWidth="1"/>
  </cols>
  <sheetData>
    <row r="1" spans="1:9" ht="21" x14ac:dyDescent="0.5">
      <c r="A1" s="6" t="s">
        <v>8</v>
      </c>
    </row>
    <row r="2" spans="1:9" x14ac:dyDescent="0.35">
      <c r="A2" s="7"/>
    </row>
    <row r="4" spans="1:9" ht="24" customHeight="1" x14ac:dyDescent="0.35">
      <c r="A4" s="26" t="s">
        <v>9</v>
      </c>
      <c r="B4" s="27"/>
      <c r="C4" s="28" t="s">
        <v>10</v>
      </c>
      <c r="D4" s="29"/>
      <c r="E4" s="29"/>
      <c r="F4" s="30" t="s">
        <v>11</v>
      </c>
      <c r="G4" s="31"/>
      <c r="H4" s="31"/>
      <c r="I4" s="31"/>
    </row>
    <row r="5" spans="1:9" ht="28" customHeight="1" x14ac:dyDescent="0.35">
      <c r="A5" s="8" t="s">
        <v>13</v>
      </c>
      <c r="B5" s="8" t="s">
        <v>14</v>
      </c>
      <c r="C5" s="8" t="s">
        <v>15</v>
      </c>
      <c r="D5" s="8" t="s">
        <v>16</v>
      </c>
      <c r="E5" s="8" t="s">
        <v>17</v>
      </c>
      <c r="F5" s="8" t="s">
        <v>15</v>
      </c>
      <c r="G5" s="8" t="s">
        <v>16</v>
      </c>
      <c r="H5" s="8" t="s">
        <v>18</v>
      </c>
      <c r="I5" s="8" t="s">
        <v>19</v>
      </c>
    </row>
    <row r="6" spans="1:9" x14ac:dyDescent="0.35">
      <c r="A6" s="9">
        <v>0</v>
      </c>
      <c r="B6" s="9">
        <v>5249.99</v>
      </c>
      <c r="C6" s="9">
        <v>5000</v>
      </c>
      <c r="D6" s="9">
        <v>0</v>
      </c>
      <c r="E6" s="9">
        <f t="shared" ref="E6:E66" si="0">C6+D6</f>
        <v>5000</v>
      </c>
      <c r="F6" s="9">
        <f t="shared" ref="F6:G37" si="1">C6*0.1</f>
        <v>500</v>
      </c>
      <c r="G6" s="9">
        <f t="shared" si="1"/>
        <v>0</v>
      </c>
      <c r="H6" s="9">
        <f t="shared" ref="H6:H66" si="2">IF(E6&lt;15000, 10, 30)</f>
        <v>10</v>
      </c>
      <c r="I6" s="9">
        <f t="shared" ref="I6:I66" si="3">SUM(F6:H6)</f>
        <v>510</v>
      </c>
    </row>
    <row r="7" spans="1:9" x14ac:dyDescent="0.35">
      <c r="A7" s="10">
        <v>5250</v>
      </c>
      <c r="B7" s="10">
        <v>5749.99</v>
      </c>
      <c r="C7" s="10">
        <v>5500</v>
      </c>
      <c r="D7" s="10">
        <v>0</v>
      </c>
      <c r="E7" s="10">
        <f t="shared" si="0"/>
        <v>5500</v>
      </c>
      <c r="F7" s="10">
        <f t="shared" si="1"/>
        <v>550</v>
      </c>
      <c r="G7" s="10">
        <f t="shared" si="1"/>
        <v>0</v>
      </c>
      <c r="H7" s="10">
        <f t="shared" si="2"/>
        <v>10</v>
      </c>
      <c r="I7" s="10">
        <f t="shared" si="3"/>
        <v>560</v>
      </c>
    </row>
    <row r="8" spans="1:9" x14ac:dyDescent="0.35">
      <c r="A8" s="9">
        <v>5750</v>
      </c>
      <c r="B8" s="9">
        <v>6249.99</v>
      </c>
      <c r="C8" s="9">
        <v>6000</v>
      </c>
      <c r="D8" s="9">
        <v>0</v>
      </c>
      <c r="E8" s="9">
        <f t="shared" si="0"/>
        <v>6000</v>
      </c>
      <c r="F8" s="9">
        <f t="shared" si="1"/>
        <v>600</v>
      </c>
      <c r="G8" s="9">
        <f t="shared" si="1"/>
        <v>0</v>
      </c>
      <c r="H8" s="9">
        <f t="shared" si="2"/>
        <v>10</v>
      </c>
      <c r="I8" s="9">
        <f t="shared" si="3"/>
        <v>610</v>
      </c>
    </row>
    <row r="9" spans="1:9" x14ac:dyDescent="0.35">
      <c r="A9" s="10">
        <v>6250</v>
      </c>
      <c r="B9" s="10">
        <v>6749.99</v>
      </c>
      <c r="C9" s="10">
        <v>6500</v>
      </c>
      <c r="D9" s="10">
        <v>0</v>
      </c>
      <c r="E9" s="10">
        <f t="shared" si="0"/>
        <v>6500</v>
      </c>
      <c r="F9" s="10">
        <f t="shared" si="1"/>
        <v>650</v>
      </c>
      <c r="G9" s="10">
        <f t="shared" si="1"/>
        <v>0</v>
      </c>
      <c r="H9" s="10">
        <f t="shared" si="2"/>
        <v>10</v>
      </c>
      <c r="I9" s="10">
        <f t="shared" si="3"/>
        <v>660</v>
      </c>
    </row>
    <row r="10" spans="1:9" x14ac:dyDescent="0.35">
      <c r="A10" s="9">
        <v>6750</v>
      </c>
      <c r="B10" s="9">
        <v>7249.99</v>
      </c>
      <c r="C10" s="9">
        <v>7000</v>
      </c>
      <c r="D10" s="9">
        <v>0</v>
      </c>
      <c r="E10" s="9">
        <f t="shared" si="0"/>
        <v>7000</v>
      </c>
      <c r="F10" s="9">
        <f t="shared" si="1"/>
        <v>700</v>
      </c>
      <c r="G10" s="9">
        <f t="shared" si="1"/>
        <v>0</v>
      </c>
      <c r="H10" s="9">
        <f t="shared" si="2"/>
        <v>10</v>
      </c>
      <c r="I10" s="9">
        <f t="shared" si="3"/>
        <v>710</v>
      </c>
    </row>
    <row r="11" spans="1:9" x14ac:dyDescent="0.35">
      <c r="A11" s="10">
        <v>7250</v>
      </c>
      <c r="B11" s="10">
        <v>7749.99</v>
      </c>
      <c r="C11" s="10">
        <v>7500</v>
      </c>
      <c r="D11" s="10">
        <v>0</v>
      </c>
      <c r="E11" s="10">
        <f t="shared" si="0"/>
        <v>7500</v>
      </c>
      <c r="F11" s="10">
        <f t="shared" si="1"/>
        <v>750</v>
      </c>
      <c r="G11" s="10">
        <f t="shared" si="1"/>
        <v>0</v>
      </c>
      <c r="H11" s="10">
        <f t="shared" si="2"/>
        <v>10</v>
      </c>
      <c r="I11" s="10">
        <f t="shared" si="3"/>
        <v>760</v>
      </c>
    </row>
    <row r="12" spans="1:9" x14ac:dyDescent="0.35">
      <c r="A12" s="9">
        <v>7750</v>
      </c>
      <c r="B12" s="9">
        <v>8249.99</v>
      </c>
      <c r="C12" s="9">
        <v>8000</v>
      </c>
      <c r="D12" s="9">
        <v>0</v>
      </c>
      <c r="E12" s="9">
        <f t="shared" si="0"/>
        <v>8000</v>
      </c>
      <c r="F12" s="9">
        <f t="shared" si="1"/>
        <v>800</v>
      </c>
      <c r="G12" s="9">
        <f t="shared" si="1"/>
        <v>0</v>
      </c>
      <c r="H12" s="9">
        <f t="shared" si="2"/>
        <v>10</v>
      </c>
      <c r="I12" s="9">
        <f t="shared" si="3"/>
        <v>810</v>
      </c>
    </row>
    <row r="13" spans="1:9" x14ac:dyDescent="0.35">
      <c r="A13" s="10">
        <v>8250</v>
      </c>
      <c r="B13" s="10">
        <v>8749.99</v>
      </c>
      <c r="C13" s="10">
        <v>8500</v>
      </c>
      <c r="D13" s="10">
        <v>0</v>
      </c>
      <c r="E13" s="10">
        <f t="shared" si="0"/>
        <v>8500</v>
      </c>
      <c r="F13" s="10">
        <f t="shared" si="1"/>
        <v>850</v>
      </c>
      <c r="G13" s="10">
        <f t="shared" si="1"/>
        <v>0</v>
      </c>
      <c r="H13" s="10">
        <f t="shared" si="2"/>
        <v>10</v>
      </c>
      <c r="I13" s="10">
        <f t="shared" si="3"/>
        <v>860</v>
      </c>
    </row>
    <row r="14" spans="1:9" x14ac:dyDescent="0.35">
      <c r="A14" s="9">
        <v>8750</v>
      </c>
      <c r="B14" s="9">
        <v>9249.99</v>
      </c>
      <c r="C14" s="9">
        <v>9000</v>
      </c>
      <c r="D14" s="9">
        <v>0</v>
      </c>
      <c r="E14" s="9">
        <f t="shared" si="0"/>
        <v>9000</v>
      </c>
      <c r="F14" s="9">
        <f t="shared" si="1"/>
        <v>900</v>
      </c>
      <c r="G14" s="9">
        <f t="shared" si="1"/>
        <v>0</v>
      </c>
      <c r="H14" s="9">
        <f t="shared" si="2"/>
        <v>10</v>
      </c>
      <c r="I14" s="9">
        <f t="shared" si="3"/>
        <v>910</v>
      </c>
    </row>
    <row r="15" spans="1:9" x14ac:dyDescent="0.35">
      <c r="A15" s="10">
        <v>9250</v>
      </c>
      <c r="B15" s="10">
        <v>9749.99</v>
      </c>
      <c r="C15" s="10">
        <v>9500</v>
      </c>
      <c r="D15" s="10">
        <v>0</v>
      </c>
      <c r="E15" s="10">
        <f t="shared" si="0"/>
        <v>9500</v>
      </c>
      <c r="F15" s="10">
        <f t="shared" si="1"/>
        <v>950</v>
      </c>
      <c r="G15" s="10">
        <f t="shared" si="1"/>
        <v>0</v>
      </c>
      <c r="H15" s="10">
        <f t="shared" si="2"/>
        <v>10</v>
      </c>
      <c r="I15" s="10">
        <f t="shared" si="3"/>
        <v>960</v>
      </c>
    </row>
    <row r="16" spans="1:9" x14ac:dyDescent="0.35">
      <c r="A16" s="9">
        <v>9750</v>
      </c>
      <c r="B16" s="9">
        <v>10249.99</v>
      </c>
      <c r="C16" s="9">
        <v>10000</v>
      </c>
      <c r="D16" s="9">
        <v>0</v>
      </c>
      <c r="E16" s="9">
        <f t="shared" si="0"/>
        <v>10000</v>
      </c>
      <c r="F16" s="9">
        <f t="shared" si="1"/>
        <v>1000</v>
      </c>
      <c r="G16" s="9">
        <f t="shared" si="1"/>
        <v>0</v>
      </c>
      <c r="H16" s="9">
        <f t="shared" si="2"/>
        <v>10</v>
      </c>
      <c r="I16" s="9">
        <f t="shared" si="3"/>
        <v>1010</v>
      </c>
    </row>
    <row r="17" spans="1:9" x14ac:dyDescent="0.35">
      <c r="A17" s="10">
        <v>10250</v>
      </c>
      <c r="B17" s="10">
        <v>10749.99</v>
      </c>
      <c r="C17" s="10">
        <v>10500</v>
      </c>
      <c r="D17" s="10">
        <v>0</v>
      </c>
      <c r="E17" s="10">
        <f t="shared" si="0"/>
        <v>10500</v>
      </c>
      <c r="F17" s="10">
        <f t="shared" si="1"/>
        <v>1050</v>
      </c>
      <c r="G17" s="10">
        <f t="shared" si="1"/>
        <v>0</v>
      </c>
      <c r="H17" s="10">
        <f t="shared" si="2"/>
        <v>10</v>
      </c>
      <c r="I17" s="10">
        <f t="shared" si="3"/>
        <v>1060</v>
      </c>
    </row>
    <row r="18" spans="1:9" x14ac:dyDescent="0.35">
      <c r="A18" s="9">
        <v>10750</v>
      </c>
      <c r="B18" s="9">
        <v>11249.99</v>
      </c>
      <c r="C18" s="9">
        <v>11000</v>
      </c>
      <c r="D18" s="9">
        <v>0</v>
      </c>
      <c r="E18" s="9">
        <f t="shared" si="0"/>
        <v>11000</v>
      </c>
      <c r="F18" s="9">
        <f t="shared" si="1"/>
        <v>1100</v>
      </c>
      <c r="G18" s="9">
        <f t="shared" si="1"/>
        <v>0</v>
      </c>
      <c r="H18" s="9">
        <f t="shared" si="2"/>
        <v>10</v>
      </c>
      <c r="I18" s="9">
        <f t="shared" si="3"/>
        <v>1110</v>
      </c>
    </row>
    <row r="19" spans="1:9" x14ac:dyDescent="0.35">
      <c r="A19" s="10">
        <v>11250</v>
      </c>
      <c r="B19" s="10">
        <v>11749.99</v>
      </c>
      <c r="C19" s="10">
        <v>11500</v>
      </c>
      <c r="D19" s="10">
        <v>0</v>
      </c>
      <c r="E19" s="10">
        <f t="shared" si="0"/>
        <v>11500</v>
      </c>
      <c r="F19" s="10">
        <f t="shared" si="1"/>
        <v>1150</v>
      </c>
      <c r="G19" s="10">
        <f t="shared" si="1"/>
        <v>0</v>
      </c>
      <c r="H19" s="10">
        <f t="shared" si="2"/>
        <v>10</v>
      </c>
      <c r="I19" s="10">
        <f t="shared" si="3"/>
        <v>1160</v>
      </c>
    </row>
    <row r="20" spans="1:9" x14ac:dyDescent="0.35">
      <c r="A20" s="9">
        <v>11750</v>
      </c>
      <c r="B20" s="9">
        <v>12249.99</v>
      </c>
      <c r="C20" s="9">
        <v>12000</v>
      </c>
      <c r="D20" s="9">
        <v>0</v>
      </c>
      <c r="E20" s="9">
        <f t="shared" si="0"/>
        <v>12000</v>
      </c>
      <c r="F20" s="9">
        <f t="shared" si="1"/>
        <v>1200</v>
      </c>
      <c r="G20" s="9">
        <f t="shared" si="1"/>
        <v>0</v>
      </c>
      <c r="H20" s="9">
        <f t="shared" si="2"/>
        <v>10</v>
      </c>
      <c r="I20" s="9">
        <f t="shared" si="3"/>
        <v>1210</v>
      </c>
    </row>
    <row r="21" spans="1:9" x14ac:dyDescent="0.35">
      <c r="A21" s="10">
        <v>12250</v>
      </c>
      <c r="B21" s="10">
        <v>12749.99</v>
      </c>
      <c r="C21" s="10">
        <v>12500</v>
      </c>
      <c r="D21" s="10">
        <v>0</v>
      </c>
      <c r="E21" s="10">
        <f t="shared" si="0"/>
        <v>12500</v>
      </c>
      <c r="F21" s="10">
        <f t="shared" si="1"/>
        <v>1250</v>
      </c>
      <c r="G21" s="10">
        <f t="shared" si="1"/>
        <v>0</v>
      </c>
      <c r="H21" s="10">
        <f t="shared" si="2"/>
        <v>10</v>
      </c>
      <c r="I21" s="10">
        <f t="shared" si="3"/>
        <v>1260</v>
      </c>
    </row>
    <row r="22" spans="1:9" x14ac:dyDescent="0.35">
      <c r="A22" s="9">
        <v>12750</v>
      </c>
      <c r="B22" s="9">
        <v>13249.99</v>
      </c>
      <c r="C22" s="9">
        <v>13000</v>
      </c>
      <c r="D22" s="9">
        <v>0</v>
      </c>
      <c r="E22" s="9">
        <f t="shared" si="0"/>
        <v>13000</v>
      </c>
      <c r="F22" s="9">
        <f t="shared" si="1"/>
        <v>1300</v>
      </c>
      <c r="G22" s="9">
        <f t="shared" si="1"/>
        <v>0</v>
      </c>
      <c r="H22" s="9">
        <f t="shared" si="2"/>
        <v>10</v>
      </c>
      <c r="I22" s="9">
        <f t="shared" si="3"/>
        <v>1310</v>
      </c>
    </row>
    <row r="23" spans="1:9" x14ac:dyDescent="0.35">
      <c r="A23" s="10">
        <v>13250</v>
      </c>
      <c r="B23" s="10">
        <v>13749.99</v>
      </c>
      <c r="C23" s="10">
        <v>13500</v>
      </c>
      <c r="D23" s="10">
        <v>0</v>
      </c>
      <c r="E23" s="10">
        <f t="shared" si="0"/>
        <v>13500</v>
      </c>
      <c r="F23" s="10">
        <f t="shared" si="1"/>
        <v>1350</v>
      </c>
      <c r="G23" s="10">
        <f t="shared" si="1"/>
        <v>0</v>
      </c>
      <c r="H23" s="10">
        <f t="shared" si="2"/>
        <v>10</v>
      </c>
      <c r="I23" s="10">
        <f t="shared" si="3"/>
        <v>1360</v>
      </c>
    </row>
    <row r="24" spans="1:9" x14ac:dyDescent="0.35">
      <c r="A24" s="9">
        <v>13750</v>
      </c>
      <c r="B24" s="9">
        <v>14249.99</v>
      </c>
      <c r="C24" s="9">
        <v>14000</v>
      </c>
      <c r="D24" s="9">
        <v>0</v>
      </c>
      <c r="E24" s="9">
        <f t="shared" si="0"/>
        <v>14000</v>
      </c>
      <c r="F24" s="9">
        <f t="shared" si="1"/>
        <v>1400</v>
      </c>
      <c r="G24" s="9">
        <f t="shared" si="1"/>
        <v>0</v>
      </c>
      <c r="H24" s="9">
        <f t="shared" si="2"/>
        <v>10</v>
      </c>
      <c r="I24" s="9">
        <f t="shared" si="3"/>
        <v>1410</v>
      </c>
    </row>
    <row r="25" spans="1:9" x14ac:dyDescent="0.35">
      <c r="A25" s="10">
        <v>14250</v>
      </c>
      <c r="B25" s="10">
        <v>14749.99</v>
      </c>
      <c r="C25" s="10">
        <v>14500</v>
      </c>
      <c r="D25" s="10">
        <v>0</v>
      </c>
      <c r="E25" s="10">
        <f t="shared" si="0"/>
        <v>14500</v>
      </c>
      <c r="F25" s="10">
        <f t="shared" si="1"/>
        <v>1450</v>
      </c>
      <c r="G25" s="10">
        <f t="shared" si="1"/>
        <v>0</v>
      </c>
      <c r="H25" s="10">
        <f t="shared" si="2"/>
        <v>10</v>
      </c>
      <c r="I25" s="10">
        <f t="shared" si="3"/>
        <v>1460</v>
      </c>
    </row>
    <row r="26" spans="1:9" x14ac:dyDescent="0.35">
      <c r="A26" s="9">
        <v>14750</v>
      </c>
      <c r="B26" s="9">
        <v>15249.99</v>
      </c>
      <c r="C26" s="9">
        <v>15000</v>
      </c>
      <c r="D26" s="9">
        <v>0</v>
      </c>
      <c r="E26" s="9">
        <f t="shared" si="0"/>
        <v>15000</v>
      </c>
      <c r="F26" s="9">
        <f t="shared" si="1"/>
        <v>1500</v>
      </c>
      <c r="G26" s="9">
        <f t="shared" si="1"/>
        <v>0</v>
      </c>
      <c r="H26" s="9">
        <f t="shared" si="2"/>
        <v>30</v>
      </c>
      <c r="I26" s="9">
        <f t="shared" si="3"/>
        <v>1530</v>
      </c>
    </row>
    <row r="27" spans="1:9" x14ac:dyDescent="0.35">
      <c r="A27" s="10">
        <v>15250</v>
      </c>
      <c r="B27" s="10">
        <v>15749.99</v>
      </c>
      <c r="C27" s="10">
        <v>15500</v>
      </c>
      <c r="D27" s="10">
        <v>0</v>
      </c>
      <c r="E27" s="10">
        <f t="shared" si="0"/>
        <v>15500</v>
      </c>
      <c r="F27" s="10">
        <f t="shared" si="1"/>
        <v>1550</v>
      </c>
      <c r="G27" s="10">
        <f t="shared" si="1"/>
        <v>0</v>
      </c>
      <c r="H27" s="10">
        <f t="shared" si="2"/>
        <v>30</v>
      </c>
      <c r="I27" s="10">
        <f t="shared" si="3"/>
        <v>1580</v>
      </c>
    </row>
    <row r="28" spans="1:9" x14ac:dyDescent="0.35">
      <c r="A28" s="9">
        <v>15750</v>
      </c>
      <c r="B28" s="9">
        <v>16249.99</v>
      </c>
      <c r="C28" s="9">
        <v>16000</v>
      </c>
      <c r="D28" s="9">
        <v>0</v>
      </c>
      <c r="E28" s="9">
        <f t="shared" si="0"/>
        <v>16000</v>
      </c>
      <c r="F28" s="9">
        <f t="shared" si="1"/>
        <v>1600</v>
      </c>
      <c r="G28" s="9">
        <f t="shared" si="1"/>
        <v>0</v>
      </c>
      <c r="H28" s="9">
        <f t="shared" si="2"/>
        <v>30</v>
      </c>
      <c r="I28" s="9">
        <f t="shared" si="3"/>
        <v>1630</v>
      </c>
    </row>
    <row r="29" spans="1:9" x14ac:dyDescent="0.35">
      <c r="A29" s="10">
        <v>16250</v>
      </c>
      <c r="B29" s="10">
        <v>16749.990000000002</v>
      </c>
      <c r="C29" s="10">
        <v>16500</v>
      </c>
      <c r="D29" s="10">
        <v>0</v>
      </c>
      <c r="E29" s="10">
        <f t="shared" si="0"/>
        <v>16500</v>
      </c>
      <c r="F29" s="10">
        <f t="shared" si="1"/>
        <v>1650</v>
      </c>
      <c r="G29" s="10">
        <f t="shared" si="1"/>
        <v>0</v>
      </c>
      <c r="H29" s="10">
        <f t="shared" si="2"/>
        <v>30</v>
      </c>
      <c r="I29" s="10">
        <f t="shared" si="3"/>
        <v>1680</v>
      </c>
    </row>
    <row r="30" spans="1:9" x14ac:dyDescent="0.35">
      <c r="A30" s="9">
        <v>16750</v>
      </c>
      <c r="B30" s="9">
        <v>17249.990000000002</v>
      </c>
      <c r="C30" s="9">
        <v>17000</v>
      </c>
      <c r="D30" s="9">
        <v>0</v>
      </c>
      <c r="E30" s="9">
        <f t="shared" si="0"/>
        <v>17000</v>
      </c>
      <c r="F30" s="9">
        <f t="shared" si="1"/>
        <v>1700</v>
      </c>
      <c r="G30" s="9">
        <f t="shared" si="1"/>
        <v>0</v>
      </c>
      <c r="H30" s="9">
        <f t="shared" si="2"/>
        <v>30</v>
      </c>
      <c r="I30" s="9">
        <f t="shared" si="3"/>
        <v>1730</v>
      </c>
    </row>
    <row r="31" spans="1:9" x14ac:dyDescent="0.35">
      <c r="A31" s="10">
        <v>17250</v>
      </c>
      <c r="B31" s="10">
        <v>17749.990000000002</v>
      </c>
      <c r="C31" s="10">
        <v>17500</v>
      </c>
      <c r="D31" s="10">
        <v>0</v>
      </c>
      <c r="E31" s="10">
        <f t="shared" si="0"/>
        <v>17500</v>
      </c>
      <c r="F31" s="10">
        <f t="shared" si="1"/>
        <v>1750</v>
      </c>
      <c r="G31" s="10">
        <f t="shared" si="1"/>
        <v>0</v>
      </c>
      <c r="H31" s="10">
        <f t="shared" si="2"/>
        <v>30</v>
      </c>
      <c r="I31" s="10">
        <f t="shared" si="3"/>
        <v>1780</v>
      </c>
    </row>
    <row r="32" spans="1:9" x14ac:dyDescent="0.35">
      <c r="A32" s="9">
        <v>17750</v>
      </c>
      <c r="B32" s="9">
        <v>18249.990000000002</v>
      </c>
      <c r="C32" s="9">
        <v>18000</v>
      </c>
      <c r="D32" s="9">
        <v>0</v>
      </c>
      <c r="E32" s="9">
        <f t="shared" si="0"/>
        <v>18000</v>
      </c>
      <c r="F32" s="9">
        <f t="shared" si="1"/>
        <v>1800</v>
      </c>
      <c r="G32" s="9">
        <f t="shared" si="1"/>
        <v>0</v>
      </c>
      <c r="H32" s="9">
        <f t="shared" si="2"/>
        <v>30</v>
      </c>
      <c r="I32" s="9">
        <f t="shared" si="3"/>
        <v>1830</v>
      </c>
    </row>
    <row r="33" spans="1:9" x14ac:dyDescent="0.35">
      <c r="A33" s="10">
        <v>18250</v>
      </c>
      <c r="B33" s="10">
        <v>18749.990000000002</v>
      </c>
      <c r="C33" s="10">
        <v>18500</v>
      </c>
      <c r="D33" s="10">
        <v>0</v>
      </c>
      <c r="E33" s="10">
        <f t="shared" si="0"/>
        <v>18500</v>
      </c>
      <c r="F33" s="10">
        <f t="shared" si="1"/>
        <v>1850</v>
      </c>
      <c r="G33" s="10">
        <f t="shared" si="1"/>
        <v>0</v>
      </c>
      <c r="H33" s="10">
        <f t="shared" si="2"/>
        <v>30</v>
      </c>
      <c r="I33" s="10">
        <f t="shared" si="3"/>
        <v>1880</v>
      </c>
    </row>
    <row r="34" spans="1:9" x14ac:dyDescent="0.35">
      <c r="A34" s="9">
        <v>18750</v>
      </c>
      <c r="B34" s="9">
        <v>19249.990000000002</v>
      </c>
      <c r="C34" s="9">
        <v>19000</v>
      </c>
      <c r="D34" s="9">
        <v>0</v>
      </c>
      <c r="E34" s="9">
        <f t="shared" si="0"/>
        <v>19000</v>
      </c>
      <c r="F34" s="9">
        <f t="shared" si="1"/>
        <v>1900</v>
      </c>
      <c r="G34" s="9">
        <f t="shared" si="1"/>
        <v>0</v>
      </c>
      <c r="H34" s="9">
        <f t="shared" si="2"/>
        <v>30</v>
      </c>
      <c r="I34" s="9">
        <f t="shared" si="3"/>
        <v>1930</v>
      </c>
    </row>
    <row r="35" spans="1:9" x14ac:dyDescent="0.35">
      <c r="A35" s="10">
        <v>19250</v>
      </c>
      <c r="B35" s="10">
        <v>19749.990000000002</v>
      </c>
      <c r="C35" s="10">
        <v>19500</v>
      </c>
      <c r="D35" s="10">
        <v>0</v>
      </c>
      <c r="E35" s="10">
        <f t="shared" si="0"/>
        <v>19500</v>
      </c>
      <c r="F35" s="10">
        <f t="shared" si="1"/>
        <v>1950</v>
      </c>
      <c r="G35" s="10">
        <f t="shared" si="1"/>
        <v>0</v>
      </c>
      <c r="H35" s="10">
        <f t="shared" si="2"/>
        <v>30</v>
      </c>
      <c r="I35" s="10">
        <f t="shared" si="3"/>
        <v>1980</v>
      </c>
    </row>
    <row r="36" spans="1:9" x14ac:dyDescent="0.35">
      <c r="A36" s="9">
        <v>19750</v>
      </c>
      <c r="B36" s="9">
        <v>20249.990000000002</v>
      </c>
      <c r="C36" s="9">
        <v>20000</v>
      </c>
      <c r="D36" s="9">
        <v>0</v>
      </c>
      <c r="E36" s="9">
        <f t="shared" si="0"/>
        <v>20000</v>
      </c>
      <c r="F36" s="9">
        <f t="shared" si="1"/>
        <v>2000</v>
      </c>
      <c r="G36" s="9">
        <f t="shared" si="1"/>
        <v>0</v>
      </c>
      <c r="H36" s="9">
        <f t="shared" si="2"/>
        <v>30</v>
      </c>
      <c r="I36" s="9">
        <f t="shared" si="3"/>
        <v>2030</v>
      </c>
    </row>
    <row r="37" spans="1:9" x14ac:dyDescent="0.35">
      <c r="A37" s="10">
        <v>20250</v>
      </c>
      <c r="B37" s="10">
        <v>20749.990000000002</v>
      </c>
      <c r="C37" s="10">
        <v>20000</v>
      </c>
      <c r="D37" s="10">
        <v>500</v>
      </c>
      <c r="E37" s="10">
        <f t="shared" si="0"/>
        <v>20500</v>
      </c>
      <c r="F37" s="10">
        <f t="shared" si="1"/>
        <v>2000</v>
      </c>
      <c r="G37" s="10">
        <f t="shared" si="1"/>
        <v>50</v>
      </c>
      <c r="H37" s="10">
        <f t="shared" si="2"/>
        <v>30</v>
      </c>
      <c r="I37" s="10">
        <f t="shared" si="3"/>
        <v>2080</v>
      </c>
    </row>
    <row r="38" spans="1:9" x14ac:dyDescent="0.35">
      <c r="A38" s="9">
        <v>20750</v>
      </c>
      <c r="B38" s="9">
        <v>21249.99</v>
      </c>
      <c r="C38" s="9">
        <v>20000</v>
      </c>
      <c r="D38" s="9">
        <v>1000</v>
      </c>
      <c r="E38" s="9">
        <f t="shared" si="0"/>
        <v>21000</v>
      </c>
      <c r="F38" s="9">
        <f t="shared" ref="F38:G66" si="4">C38*0.1</f>
        <v>2000</v>
      </c>
      <c r="G38" s="9">
        <f t="shared" si="4"/>
        <v>100</v>
      </c>
      <c r="H38" s="9">
        <f t="shared" si="2"/>
        <v>30</v>
      </c>
      <c r="I38" s="9">
        <f t="shared" si="3"/>
        <v>2130</v>
      </c>
    </row>
    <row r="39" spans="1:9" x14ac:dyDescent="0.35">
      <c r="A39" s="10">
        <v>21250</v>
      </c>
      <c r="B39" s="10">
        <v>21749.99</v>
      </c>
      <c r="C39" s="10">
        <v>20000</v>
      </c>
      <c r="D39" s="10">
        <v>1500</v>
      </c>
      <c r="E39" s="10">
        <f t="shared" si="0"/>
        <v>21500</v>
      </c>
      <c r="F39" s="10">
        <f t="shared" si="4"/>
        <v>2000</v>
      </c>
      <c r="G39" s="10">
        <f t="shared" si="4"/>
        <v>150</v>
      </c>
      <c r="H39" s="10">
        <f t="shared" si="2"/>
        <v>30</v>
      </c>
      <c r="I39" s="10">
        <f t="shared" si="3"/>
        <v>2180</v>
      </c>
    </row>
    <row r="40" spans="1:9" x14ac:dyDescent="0.35">
      <c r="A40" s="9">
        <v>21750</v>
      </c>
      <c r="B40" s="9">
        <v>22249.99</v>
      </c>
      <c r="C40" s="9">
        <v>20000</v>
      </c>
      <c r="D40" s="9">
        <v>2000</v>
      </c>
      <c r="E40" s="9">
        <f t="shared" si="0"/>
        <v>22000</v>
      </c>
      <c r="F40" s="9">
        <f t="shared" si="4"/>
        <v>2000</v>
      </c>
      <c r="G40" s="9">
        <f t="shared" si="4"/>
        <v>200</v>
      </c>
      <c r="H40" s="9">
        <f t="shared" si="2"/>
        <v>30</v>
      </c>
      <c r="I40" s="9">
        <f t="shared" si="3"/>
        <v>2230</v>
      </c>
    </row>
    <row r="41" spans="1:9" x14ac:dyDescent="0.35">
      <c r="A41" s="10">
        <v>22250</v>
      </c>
      <c r="B41" s="10">
        <v>22749.99</v>
      </c>
      <c r="C41" s="10">
        <v>20000</v>
      </c>
      <c r="D41" s="10">
        <v>2500</v>
      </c>
      <c r="E41" s="10">
        <f t="shared" si="0"/>
        <v>22500</v>
      </c>
      <c r="F41" s="10">
        <f t="shared" si="4"/>
        <v>2000</v>
      </c>
      <c r="G41" s="10">
        <f t="shared" si="4"/>
        <v>250</v>
      </c>
      <c r="H41" s="10">
        <f t="shared" si="2"/>
        <v>30</v>
      </c>
      <c r="I41" s="10">
        <f t="shared" si="3"/>
        <v>2280</v>
      </c>
    </row>
    <row r="42" spans="1:9" x14ac:dyDescent="0.35">
      <c r="A42" s="9">
        <v>22750</v>
      </c>
      <c r="B42" s="9">
        <v>23249.99</v>
      </c>
      <c r="C42" s="9">
        <v>20000</v>
      </c>
      <c r="D42" s="9">
        <v>3000</v>
      </c>
      <c r="E42" s="9">
        <f t="shared" si="0"/>
        <v>23000</v>
      </c>
      <c r="F42" s="9">
        <f t="shared" si="4"/>
        <v>2000</v>
      </c>
      <c r="G42" s="9">
        <f t="shared" si="4"/>
        <v>300</v>
      </c>
      <c r="H42" s="9">
        <f t="shared" si="2"/>
        <v>30</v>
      </c>
      <c r="I42" s="9">
        <f t="shared" si="3"/>
        <v>2330</v>
      </c>
    </row>
    <row r="43" spans="1:9" x14ac:dyDescent="0.35">
      <c r="A43" s="10">
        <v>23250</v>
      </c>
      <c r="B43" s="10">
        <v>23749.99</v>
      </c>
      <c r="C43" s="10">
        <v>20000</v>
      </c>
      <c r="D43" s="10">
        <v>3500</v>
      </c>
      <c r="E43" s="10">
        <f t="shared" si="0"/>
        <v>23500</v>
      </c>
      <c r="F43" s="10">
        <f t="shared" si="4"/>
        <v>2000</v>
      </c>
      <c r="G43" s="10">
        <f t="shared" si="4"/>
        <v>350</v>
      </c>
      <c r="H43" s="10">
        <f t="shared" si="2"/>
        <v>30</v>
      </c>
      <c r="I43" s="10">
        <f t="shared" si="3"/>
        <v>2380</v>
      </c>
    </row>
    <row r="44" spans="1:9" x14ac:dyDescent="0.35">
      <c r="A44" s="9">
        <v>23750</v>
      </c>
      <c r="B44" s="9">
        <v>24249.99</v>
      </c>
      <c r="C44" s="9">
        <v>20000</v>
      </c>
      <c r="D44" s="9">
        <v>4000</v>
      </c>
      <c r="E44" s="9">
        <f t="shared" si="0"/>
        <v>24000</v>
      </c>
      <c r="F44" s="9">
        <f t="shared" si="4"/>
        <v>2000</v>
      </c>
      <c r="G44" s="9">
        <f t="shared" si="4"/>
        <v>400</v>
      </c>
      <c r="H44" s="9">
        <f t="shared" si="2"/>
        <v>30</v>
      </c>
      <c r="I44" s="9">
        <f t="shared" si="3"/>
        <v>2430</v>
      </c>
    </row>
    <row r="45" spans="1:9" x14ac:dyDescent="0.35">
      <c r="A45" s="10">
        <v>24250</v>
      </c>
      <c r="B45" s="10">
        <v>24749.99</v>
      </c>
      <c r="C45" s="10">
        <v>20000</v>
      </c>
      <c r="D45" s="10">
        <v>4500</v>
      </c>
      <c r="E45" s="10">
        <f t="shared" si="0"/>
        <v>24500</v>
      </c>
      <c r="F45" s="10">
        <f t="shared" si="4"/>
        <v>2000</v>
      </c>
      <c r="G45" s="10">
        <f t="shared" si="4"/>
        <v>450</v>
      </c>
      <c r="H45" s="10">
        <f t="shared" si="2"/>
        <v>30</v>
      </c>
      <c r="I45" s="10">
        <f t="shared" si="3"/>
        <v>2480</v>
      </c>
    </row>
    <row r="46" spans="1:9" x14ac:dyDescent="0.35">
      <c r="A46" s="9">
        <v>24750</v>
      </c>
      <c r="B46" s="9">
        <v>25249.99</v>
      </c>
      <c r="C46" s="9">
        <v>20000</v>
      </c>
      <c r="D46" s="9">
        <v>5000</v>
      </c>
      <c r="E46" s="9">
        <f t="shared" si="0"/>
        <v>25000</v>
      </c>
      <c r="F46" s="9">
        <f t="shared" si="4"/>
        <v>2000</v>
      </c>
      <c r="G46" s="9">
        <f t="shared" si="4"/>
        <v>500</v>
      </c>
      <c r="H46" s="9">
        <f t="shared" si="2"/>
        <v>30</v>
      </c>
      <c r="I46" s="9">
        <f t="shared" si="3"/>
        <v>2530</v>
      </c>
    </row>
    <row r="47" spans="1:9" x14ac:dyDescent="0.35">
      <c r="A47" s="10">
        <v>25250</v>
      </c>
      <c r="B47" s="10">
        <v>25749.99</v>
      </c>
      <c r="C47" s="10">
        <v>20000</v>
      </c>
      <c r="D47" s="10">
        <v>5500</v>
      </c>
      <c r="E47" s="10">
        <f t="shared" si="0"/>
        <v>25500</v>
      </c>
      <c r="F47" s="10">
        <f t="shared" si="4"/>
        <v>2000</v>
      </c>
      <c r="G47" s="10">
        <f t="shared" si="4"/>
        <v>550</v>
      </c>
      <c r="H47" s="10">
        <f t="shared" si="2"/>
        <v>30</v>
      </c>
      <c r="I47" s="10">
        <f t="shared" si="3"/>
        <v>2580</v>
      </c>
    </row>
    <row r="48" spans="1:9" x14ac:dyDescent="0.35">
      <c r="A48" s="9">
        <v>25750</v>
      </c>
      <c r="B48" s="9">
        <v>26249.99</v>
      </c>
      <c r="C48" s="9">
        <v>20000</v>
      </c>
      <c r="D48" s="9">
        <v>6000</v>
      </c>
      <c r="E48" s="9">
        <f t="shared" si="0"/>
        <v>26000</v>
      </c>
      <c r="F48" s="9">
        <f t="shared" si="4"/>
        <v>2000</v>
      </c>
      <c r="G48" s="9">
        <f t="shared" si="4"/>
        <v>600</v>
      </c>
      <c r="H48" s="9">
        <f t="shared" si="2"/>
        <v>30</v>
      </c>
      <c r="I48" s="9">
        <f t="shared" si="3"/>
        <v>2630</v>
      </c>
    </row>
    <row r="49" spans="1:9" x14ac:dyDescent="0.35">
      <c r="A49" s="10">
        <v>26250</v>
      </c>
      <c r="B49" s="10">
        <v>26749.99</v>
      </c>
      <c r="C49" s="10">
        <v>20000</v>
      </c>
      <c r="D49" s="10">
        <v>6500</v>
      </c>
      <c r="E49" s="10">
        <f t="shared" si="0"/>
        <v>26500</v>
      </c>
      <c r="F49" s="10">
        <f t="shared" si="4"/>
        <v>2000</v>
      </c>
      <c r="G49" s="10">
        <f t="shared" si="4"/>
        <v>650</v>
      </c>
      <c r="H49" s="10">
        <f t="shared" si="2"/>
        <v>30</v>
      </c>
      <c r="I49" s="10">
        <f t="shared" si="3"/>
        <v>2680</v>
      </c>
    </row>
    <row r="50" spans="1:9" x14ac:dyDescent="0.35">
      <c r="A50" s="9">
        <v>26750</v>
      </c>
      <c r="B50" s="9">
        <v>27249.99</v>
      </c>
      <c r="C50" s="9">
        <v>20000</v>
      </c>
      <c r="D50" s="9">
        <v>7000</v>
      </c>
      <c r="E50" s="9">
        <f t="shared" si="0"/>
        <v>27000</v>
      </c>
      <c r="F50" s="9">
        <f t="shared" si="4"/>
        <v>2000</v>
      </c>
      <c r="G50" s="9">
        <f t="shared" si="4"/>
        <v>700</v>
      </c>
      <c r="H50" s="9">
        <f t="shared" si="2"/>
        <v>30</v>
      </c>
      <c r="I50" s="9">
        <f t="shared" si="3"/>
        <v>2730</v>
      </c>
    </row>
    <row r="51" spans="1:9" x14ac:dyDescent="0.35">
      <c r="A51" s="10">
        <v>27250</v>
      </c>
      <c r="B51" s="10">
        <v>27749.99</v>
      </c>
      <c r="C51" s="10">
        <v>20000</v>
      </c>
      <c r="D51" s="10">
        <v>7500</v>
      </c>
      <c r="E51" s="10">
        <f t="shared" si="0"/>
        <v>27500</v>
      </c>
      <c r="F51" s="10">
        <f t="shared" si="4"/>
        <v>2000</v>
      </c>
      <c r="G51" s="10">
        <f t="shared" si="4"/>
        <v>750</v>
      </c>
      <c r="H51" s="10">
        <f t="shared" si="2"/>
        <v>30</v>
      </c>
      <c r="I51" s="10">
        <f t="shared" si="3"/>
        <v>2780</v>
      </c>
    </row>
    <row r="52" spans="1:9" x14ac:dyDescent="0.35">
      <c r="A52" s="9">
        <v>27750</v>
      </c>
      <c r="B52" s="9">
        <v>28249.99</v>
      </c>
      <c r="C52" s="9">
        <v>20000</v>
      </c>
      <c r="D52" s="9">
        <v>8000</v>
      </c>
      <c r="E52" s="9">
        <f t="shared" si="0"/>
        <v>28000</v>
      </c>
      <c r="F52" s="9">
        <f t="shared" si="4"/>
        <v>2000</v>
      </c>
      <c r="G52" s="9">
        <f t="shared" si="4"/>
        <v>800</v>
      </c>
      <c r="H52" s="9">
        <f t="shared" si="2"/>
        <v>30</v>
      </c>
      <c r="I52" s="9">
        <f t="shared" si="3"/>
        <v>2830</v>
      </c>
    </row>
    <row r="53" spans="1:9" x14ac:dyDescent="0.35">
      <c r="A53" s="10">
        <v>28250</v>
      </c>
      <c r="B53" s="10">
        <v>28749.99</v>
      </c>
      <c r="C53" s="10">
        <v>20000</v>
      </c>
      <c r="D53" s="10">
        <v>8500</v>
      </c>
      <c r="E53" s="10">
        <f t="shared" si="0"/>
        <v>28500</v>
      </c>
      <c r="F53" s="10">
        <f t="shared" si="4"/>
        <v>2000</v>
      </c>
      <c r="G53" s="10">
        <f t="shared" si="4"/>
        <v>850</v>
      </c>
      <c r="H53" s="10">
        <f t="shared" si="2"/>
        <v>30</v>
      </c>
      <c r="I53" s="10">
        <f t="shared" si="3"/>
        <v>2880</v>
      </c>
    </row>
    <row r="54" spans="1:9" x14ac:dyDescent="0.35">
      <c r="A54" s="9">
        <v>28750</v>
      </c>
      <c r="B54" s="9">
        <v>29249.99</v>
      </c>
      <c r="C54" s="9">
        <v>20000</v>
      </c>
      <c r="D54" s="9">
        <v>9000</v>
      </c>
      <c r="E54" s="9">
        <f t="shared" si="0"/>
        <v>29000</v>
      </c>
      <c r="F54" s="9">
        <f t="shared" si="4"/>
        <v>2000</v>
      </c>
      <c r="G54" s="9">
        <f t="shared" si="4"/>
        <v>900</v>
      </c>
      <c r="H54" s="9">
        <f t="shared" si="2"/>
        <v>30</v>
      </c>
      <c r="I54" s="9">
        <f t="shared" si="3"/>
        <v>2930</v>
      </c>
    </row>
    <row r="55" spans="1:9" x14ac:dyDescent="0.35">
      <c r="A55" s="10">
        <v>29250</v>
      </c>
      <c r="B55" s="10">
        <v>29749.99</v>
      </c>
      <c r="C55" s="10">
        <v>20000</v>
      </c>
      <c r="D55" s="10">
        <v>9500</v>
      </c>
      <c r="E55" s="10">
        <f t="shared" si="0"/>
        <v>29500</v>
      </c>
      <c r="F55" s="10">
        <f t="shared" si="4"/>
        <v>2000</v>
      </c>
      <c r="G55" s="10">
        <f t="shared" si="4"/>
        <v>950</v>
      </c>
      <c r="H55" s="10">
        <f t="shared" si="2"/>
        <v>30</v>
      </c>
      <c r="I55" s="10">
        <f t="shared" si="3"/>
        <v>2980</v>
      </c>
    </row>
    <row r="56" spans="1:9" x14ac:dyDescent="0.35">
      <c r="A56" s="9">
        <v>29750</v>
      </c>
      <c r="B56" s="9">
        <v>30249.99</v>
      </c>
      <c r="C56" s="9">
        <v>20000</v>
      </c>
      <c r="D56" s="9">
        <v>10000</v>
      </c>
      <c r="E56" s="9">
        <f t="shared" si="0"/>
        <v>30000</v>
      </c>
      <c r="F56" s="9">
        <f t="shared" si="4"/>
        <v>2000</v>
      </c>
      <c r="G56" s="9">
        <f t="shared" si="4"/>
        <v>1000</v>
      </c>
      <c r="H56" s="9">
        <f t="shared" si="2"/>
        <v>30</v>
      </c>
      <c r="I56" s="9">
        <f t="shared" si="3"/>
        <v>3030</v>
      </c>
    </row>
    <row r="57" spans="1:9" x14ac:dyDescent="0.35">
      <c r="A57" s="10">
        <v>30250</v>
      </c>
      <c r="B57" s="10">
        <v>30749.99</v>
      </c>
      <c r="C57" s="10">
        <v>20000</v>
      </c>
      <c r="D57" s="10">
        <v>10500</v>
      </c>
      <c r="E57" s="10">
        <f t="shared" si="0"/>
        <v>30500</v>
      </c>
      <c r="F57" s="10">
        <f t="shared" si="4"/>
        <v>2000</v>
      </c>
      <c r="G57" s="10">
        <f t="shared" si="4"/>
        <v>1050</v>
      </c>
      <c r="H57" s="10">
        <f t="shared" si="2"/>
        <v>30</v>
      </c>
      <c r="I57" s="10">
        <f t="shared" si="3"/>
        <v>3080</v>
      </c>
    </row>
    <row r="58" spans="1:9" x14ac:dyDescent="0.35">
      <c r="A58" s="9">
        <v>30750</v>
      </c>
      <c r="B58" s="9">
        <v>31249.99</v>
      </c>
      <c r="C58" s="9">
        <v>20000</v>
      </c>
      <c r="D58" s="9">
        <v>11000</v>
      </c>
      <c r="E58" s="9">
        <f t="shared" si="0"/>
        <v>31000</v>
      </c>
      <c r="F58" s="9">
        <f t="shared" si="4"/>
        <v>2000</v>
      </c>
      <c r="G58" s="9">
        <f t="shared" si="4"/>
        <v>1100</v>
      </c>
      <c r="H58" s="9">
        <f t="shared" si="2"/>
        <v>30</v>
      </c>
      <c r="I58" s="9">
        <f t="shared" si="3"/>
        <v>3130</v>
      </c>
    </row>
    <row r="59" spans="1:9" x14ac:dyDescent="0.35">
      <c r="A59" s="10">
        <v>31250</v>
      </c>
      <c r="B59" s="10">
        <v>31749.99</v>
      </c>
      <c r="C59" s="10">
        <v>20000</v>
      </c>
      <c r="D59" s="10">
        <v>11500</v>
      </c>
      <c r="E59" s="10">
        <f t="shared" si="0"/>
        <v>31500</v>
      </c>
      <c r="F59" s="10">
        <f t="shared" si="4"/>
        <v>2000</v>
      </c>
      <c r="G59" s="10">
        <f t="shared" si="4"/>
        <v>1150</v>
      </c>
      <c r="H59" s="10">
        <f t="shared" si="2"/>
        <v>30</v>
      </c>
      <c r="I59" s="10">
        <f t="shared" si="3"/>
        <v>3180</v>
      </c>
    </row>
    <row r="60" spans="1:9" x14ac:dyDescent="0.35">
      <c r="A60" s="9">
        <v>31750</v>
      </c>
      <c r="B60" s="9">
        <v>32249.99</v>
      </c>
      <c r="C60" s="9">
        <v>20000</v>
      </c>
      <c r="D60" s="9">
        <v>12000</v>
      </c>
      <c r="E60" s="9">
        <f t="shared" si="0"/>
        <v>32000</v>
      </c>
      <c r="F60" s="9">
        <f t="shared" si="4"/>
        <v>2000</v>
      </c>
      <c r="G60" s="9">
        <f t="shared" si="4"/>
        <v>1200</v>
      </c>
      <c r="H60" s="9">
        <f t="shared" si="2"/>
        <v>30</v>
      </c>
      <c r="I60" s="9">
        <f t="shared" si="3"/>
        <v>3230</v>
      </c>
    </row>
    <row r="61" spans="1:9" x14ac:dyDescent="0.35">
      <c r="A61" s="10">
        <v>32250</v>
      </c>
      <c r="B61" s="10">
        <v>32749.99</v>
      </c>
      <c r="C61" s="10">
        <v>20000</v>
      </c>
      <c r="D61" s="10">
        <v>12500</v>
      </c>
      <c r="E61" s="10">
        <f t="shared" si="0"/>
        <v>32500</v>
      </c>
      <c r="F61" s="10">
        <f t="shared" si="4"/>
        <v>2000</v>
      </c>
      <c r="G61" s="10">
        <f t="shared" si="4"/>
        <v>1250</v>
      </c>
      <c r="H61" s="10">
        <f t="shared" si="2"/>
        <v>30</v>
      </c>
      <c r="I61" s="10">
        <f t="shared" si="3"/>
        <v>3280</v>
      </c>
    </row>
    <row r="62" spans="1:9" x14ac:dyDescent="0.35">
      <c r="A62" s="9">
        <v>32750</v>
      </c>
      <c r="B62" s="9">
        <v>33249.99</v>
      </c>
      <c r="C62" s="9">
        <v>20000</v>
      </c>
      <c r="D62" s="9">
        <v>13000</v>
      </c>
      <c r="E62" s="9">
        <f t="shared" si="0"/>
        <v>33000</v>
      </c>
      <c r="F62" s="9">
        <f t="shared" si="4"/>
        <v>2000</v>
      </c>
      <c r="G62" s="9">
        <f t="shared" si="4"/>
        <v>1300</v>
      </c>
      <c r="H62" s="9">
        <f t="shared" si="2"/>
        <v>30</v>
      </c>
      <c r="I62" s="9">
        <f t="shared" si="3"/>
        <v>3330</v>
      </c>
    </row>
    <row r="63" spans="1:9" x14ac:dyDescent="0.35">
      <c r="A63" s="10">
        <v>33250</v>
      </c>
      <c r="B63" s="10">
        <v>33749.99</v>
      </c>
      <c r="C63" s="10">
        <v>20000</v>
      </c>
      <c r="D63" s="10">
        <v>13500</v>
      </c>
      <c r="E63" s="10">
        <f t="shared" si="0"/>
        <v>33500</v>
      </c>
      <c r="F63" s="10">
        <f t="shared" si="4"/>
        <v>2000</v>
      </c>
      <c r="G63" s="10">
        <f t="shared" si="4"/>
        <v>1350</v>
      </c>
      <c r="H63" s="10">
        <f t="shared" si="2"/>
        <v>30</v>
      </c>
      <c r="I63" s="10">
        <f t="shared" si="3"/>
        <v>3380</v>
      </c>
    </row>
    <row r="64" spans="1:9" x14ac:dyDescent="0.35">
      <c r="A64" s="9">
        <v>33750</v>
      </c>
      <c r="B64" s="9">
        <v>34249.99</v>
      </c>
      <c r="C64" s="9">
        <v>20000</v>
      </c>
      <c r="D64" s="9">
        <v>14000</v>
      </c>
      <c r="E64" s="9">
        <f t="shared" si="0"/>
        <v>34000</v>
      </c>
      <c r="F64" s="9">
        <f t="shared" si="4"/>
        <v>2000</v>
      </c>
      <c r="G64" s="9">
        <f t="shared" si="4"/>
        <v>1400</v>
      </c>
      <c r="H64" s="9">
        <f t="shared" si="2"/>
        <v>30</v>
      </c>
      <c r="I64" s="9">
        <f t="shared" si="3"/>
        <v>3430</v>
      </c>
    </row>
    <row r="65" spans="1:9" x14ac:dyDescent="0.35">
      <c r="A65" s="10">
        <v>34250</v>
      </c>
      <c r="B65" s="10">
        <v>34749.99</v>
      </c>
      <c r="C65" s="10">
        <v>20000</v>
      </c>
      <c r="D65" s="10">
        <v>14500</v>
      </c>
      <c r="E65" s="10">
        <f t="shared" si="0"/>
        <v>34500</v>
      </c>
      <c r="F65" s="10">
        <f t="shared" si="4"/>
        <v>2000</v>
      </c>
      <c r="G65" s="10">
        <f t="shared" si="4"/>
        <v>1450</v>
      </c>
      <c r="H65" s="10">
        <f t="shared" si="2"/>
        <v>30</v>
      </c>
      <c r="I65" s="10">
        <f t="shared" si="3"/>
        <v>3480</v>
      </c>
    </row>
    <row r="66" spans="1:9" x14ac:dyDescent="0.35">
      <c r="A66" s="9">
        <v>34750</v>
      </c>
      <c r="B66" s="11" t="s">
        <v>20</v>
      </c>
      <c r="C66" s="9">
        <v>20000</v>
      </c>
      <c r="D66" s="9">
        <v>15000</v>
      </c>
      <c r="E66" s="9">
        <f t="shared" si="0"/>
        <v>35000</v>
      </c>
      <c r="F66" s="9">
        <f t="shared" si="4"/>
        <v>2000</v>
      </c>
      <c r="G66" s="9">
        <f t="shared" si="4"/>
        <v>1500</v>
      </c>
      <c r="H66" s="9">
        <f t="shared" si="2"/>
        <v>30</v>
      </c>
      <c r="I66" s="9">
        <f t="shared" si="3"/>
        <v>3530</v>
      </c>
    </row>
    <row r="68" spans="1:9" x14ac:dyDescent="0.35">
      <c r="A68" s="12" t="s">
        <v>21</v>
      </c>
    </row>
    <row r="69" spans="1:9" x14ac:dyDescent="0.35">
      <c r="A69" s="7" t="s">
        <v>22</v>
      </c>
    </row>
    <row r="70" spans="1:9" x14ac:dyDescent="0.35">
      <c r="A70" s="7" t="s">
        <v>23</v>
      </c>
    </row>
    <row r="71" spans="1:9" x14ac:dyDescent="0.35">
      <c r="A71" s="7" t="s">
        <v>24</v>
      </c>
    </row>
    <row r="72" spans="1:9" x14ac:dyDescent="0.35">
      <c r="A72" s="7" t="s">
        <v>25</v>
      </c>
    </row>
  </sheetData>
  <mergeCells count="3">
    <mergeCell ref="A4:B4"/>
    <mergeCell ref="C4:E4"/>
    <mergeCell ref="F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List</vt:lpstr>
      <vt:lpstr>Computed Monthly Salary</vt:lpstr>
      <vt:lpstr>Average Salary</vt:lpstr>
      <vt:lpstr>Headcount per Company</vt:lpstr>
      <vt:lpstr>SSS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2026-07-21T05:57:50Z</dcterms:created>
  <dcterms:modified xsi:type="dcterms:W3CDTF">2026-08-11T02:00:32Z</dcterms:modified>
</cp:coreProperties>
</file>