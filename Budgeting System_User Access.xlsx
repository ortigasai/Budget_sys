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9_{B693F7D5-A3CC-41BB-8024-9DBEE0A95012}" xr6:coauthVersionLast="47" xr6:coauthVersionMax="47" xr10:uidLastSave="{00000000-0000-0000-0000-000000000000}"/>
  <bookViews>
    <workbookView xWindow="0" yWindow="360" windowWidth="19420" windowHeight="10300" xr2:uid="{BBB40E87-344D-44B7-9B1E-15C800564467}"/>
  </bookViews>
  <sheets>
    <sheet name="Sheet12" sheetId="12" r:id="rId1"/>
    <sheet name="NPC SBU" sheetId="1" r:id="rId2"/>
    <sheet name="General SBU" sheetId="10" r:id="rId3"/>
    <sheet name="SBU" sheetId="2" r:id="rId4"/>
    <sheet name="Departments" sheetId="11" r:id="rId5"/>
  </sheets>
  <definedNames>
    <definedName name="_xlnm._FilterDatabase" localSheetId="4" hidden="1">Departments!$A$1:$B$58</definedName>
    <definedName name="_xlnm._FilterDatabase" localSheetId="2" hidden="1">'General SBU'!$A$2:$E$150</definedName>
    <definedName name="_xlnm._FilterDatabase" localSheetId="1" hidden="1">'NPC SBU'!$A$2:$E$150</definedName>
    <definedName name="_xlnm._FilterDatabase" localSheetId="3" hidden="1">SBU!$A$2:$B$11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49" i="10" l="1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<sst xmlns="http://schemas.openxmlformats.org/spreadsheetml/2006/main" count="1352" uniqueCount="342">
  <si>
    <t>Name</t>
  </si>
  <si>
    <t>Email</t>
  </si>
  <si>
    <t>Department</t>
  </si>
  <si>
    <t>Corporate IT</t>
  </si>
  <si>
    <t>Jercee P. Selda</t>
  </si>
  <si>
    <t>Mark Raven N. Alsola</t>
  </si>
  <si>
    <t>Alben G. Corpin</t>
  </si>
  <si>
    <t>Chasty A. Villamin</t>
  </si>
  <si>
    <t>James Paul M. Dela Rea</t>
  </si>
  <si>
    <t>Jose Clyde Evans P. Solemne</t>
  </si>
  <si>
    <t>Mark Christian R. Gotos</t>
  </si>
  <si>
    <t>Reggie T. Acbang</t>
  </si>
  <si>
    <t>Rey Harold C. Quijano</t>
  </si>
  <si>
    <t>Ronilo B. Quiat</t>
  </si>
  <si>
    <t>Position</t>
  </si>
  <si>
    <t>Information System &amp; Information Technology</t>
  </si>
  <si>
    <t>Senior IT Support Associate</t>
  </si>
  <si>
    <t>IT Support Associate</t>
  </si>
  <si>
    <t>Business Analyst</t>
  </si>
  <si>
    <t>Senior IT Officer</t>
  </si>
  <si>
    <t>Senior Software Developer Associate</t>
  </si>
  <si>
    <t>IT Manager</t>
  </si>
  <si>
    <t>AVP - Head of Information Systems &amp; Information Technology</t>
  </si>
  <si>
    <t>Malls</t>
  </si>
  <si>
    <t>Offices</t>
  </si>
  <si>
    <t>Estates</t>
  </si>
  <si>
    <t>Residential</t>
  </si>
  <si>
    <t>Leisure</t>
  </si>
  <si>
    <t>Corporate</t>
  </si>
  <si>
    <t>General SBU</t>
  </si>
  <si>
    <t>NPC SBU</t>
  </si>
  <si>
    <t>Malls GH</t>
  </si>
  <si>
    <t>Malls Non-GH</t>
  </si>
  <si>
    <t>Corporate HR</t>
  </si>
  <si>
    <t>Corporate Admin</t>
  </si>
  <si>
    <t>Benedict Nicholas A. Sandejas</t>
  </si>
  <si>
    <t>Carolina C. Tenedero</t>
  </si>
  <si>
    <t>Administrative Services Department</t>
  </si>
  <si>
    <t>Associate Administrative Manager</t>
  </si>
  <si>
    <t>Senior Administrative Associate</t>
  </si>
  <si>
    <t>Human Resources</t>
  </si>
  <si>
    <t>Albertine Ellen R. Jimenez</t>
  </si>
  <si>
    <t>Daisy Abendanio</t>
  </si>
  <si>
    <t>Ma. Karen I. Caparas</t>
  </si>
  <si>
    <t>Marybeth G. Monis</t>
  </si>
  <si>
    <t>Naisa S. Reyes</t>
  </si>
  <si>
    <t>Rosamond U. Villanueva</t>
  </si>
  <si>
    <t>Human Resources Manager</t>
  </si>
  <si>
    <t>Human Resources Associate</t>
  </si>
  <si>
    <t>AVP, Head of Human Resources</t>
  </si>
  <si>
    <t>Associate Human Resources Manager</t>
  </si>
  <si>
    <t>Senior Executive Assistant</t>
  </si>
  <si>
    <t>April Joy A. Natividad</t>
  </si>
  <si>
    <t>Camille Ann B. Reglos</t>
  </si>
  <si>
    <t>Dion Delano C. Averilla</t>
  </si>
  <si>
    <t>Dominic Robert Ian T. Villanueva</t>
  </si>
  <si>
    <t>Jan Heribert A. Patinio</t>
  </si>
  <si>
    <t>Jason C. Galang</t>
  </si>
  <si>
    <t>Johannah Pauline S. Gequillana</t>
  </si>
  <si>
    <t>Jun Gerald A. Sioson</t>
  </si>
  <si>
    <t>Ma. Dia Lauren C. Valenton</t>
  </si>
  <si>
    <t>Norman L. Ferreras</t>
  </si>
  <si>
    <t>Paul Adrian B. Javen</t>
  </si>
  <si>
    <t>Erish Jordan M. Mariano</t>
  </si>
  <si>
    <t>Gonzalo Romualdo H. Sto. Domingo</t>
  </si>
  <si>
    <t>OMD Operations</t>
  </si>
  <si>
    <t>Tenant Relations Associate</t>
  </si>
  <si>
    <t>Building Administration Associate</t>
  </si>
  <si>
    <t>Associate Mall Manager</t>
  </si>
  <si>
    <t>POS Associate</t>
  </si>
  <si>
    <t>Associate Building Administration Manager &amp; Safety Officer</t>
  </si>
  <si>
    <t>Tenant Relations Officer</t>
  </si>
  <si>
    <t>Building Admin Officer</t>
  </si>
  <si>
    <t>Associate Tenant Relations Manager &amp; Safety Officer</t>
  </si>
  <si>
    <t>Associate Mall Manager &amp; Safety Officer</t>
  </si>
  <si>
    <t>OMD Finance</t>
  </si>
  <si>
    <t>Abigail S. Agcaoili</t>
  </si>
  <si>
    <t>Christine A. Laxamana</t>
  </si>
  <si>
    <t>Jalline A. Pebres</t>
  </si>
  <si>
    <t>John Mark A. Daymiel</t>
  </si>
  <si>
    <t>Shamina I. Campong</t>
  </si>
  <si>
    <t>Wendelyn E. Alcantara</t>
  </si>
  <si>
    <t>Arnel B. Mata</t>
  </si>
  <si>
    <t>Lenny N. Catiis</t>
  </si>
  <si>
    <t>Maria Cristina V. Ferando</t>
  </si>
  <si>
    <t>Rosalie H. Bicera</t>
  </si>
  <si>
    <t>Finance Associate</t>
  </si>
  <si>
    <t>Senior Accounting Associate</t>
  </si>
  <si>
    <t>Document Controller</t>
  </si>
  <si>
    <t>Finance Officer</t>
  </si>
  <si>
    <t>Finance Manager</t>
  </si>
  <si>
    <t>Associate Finance Manager</t>
  </si>
  <si>
    <t>Associate Accounting Manager</t>
  </si>
  <si>
    <t>Senior Accounting Officer</t>
  </si>
  <si>
    <t>Albert Philip Y. Penales</t>
  </si>
  <si>
    <t>Flordeliza A. Ocba</t>
  </si>
  <si>
    <t>Jennifer M. Ringor</t>
  </si>
  <si>
    <t>Jewel Valerie R. Macaranas</t>
  </si>
  <si>
    <t>John Michael M. Simon</t>
  </si>
  <si>
    <t>Joyce Ann A. Alicos</t>
  </si>
  <si>
    <t>Krisha Mae A. Enriquez</t>
  </si>
  <si>
    <t>Mark Anthony R. Sevilla</t>
  </si>
  <si>
    <t>Raphael Rosalio Martin T. Estrada</t>
  </si>
  <si>
    <t>Reynabeth E. Almoradie</t>
  </si>
  <si>
    <t>Rowena D. Mislos</t>
  </si>
  <si>
    <t>Vin-Mer Raphael M. Ramirez</t>
  </si>
  <si>
    <t>Jay P. Toledo</t>
  </si>
  <si>
    <t>Randyboy F. Torres</t>
  </si>
  <si>
    <t>Administrative Officer</t>
  </si>
  <si>
    <t>Accounting Associate</t>
  </si>
  <si>
    <t>Assistant Tenant Relations Manager &amp; Safety Officer</t>
  </si>
  <si>
    <t>Associate Building Administration Manager</t>
  </si>
  <si>
    <t>Building Admin &amp; Safety Officer</t>
  </si>
  <si>
    <t>Mall Operations Manager</t>
  </si>
  <si>
    <t>Carla Cianet Buenaobra</t>
  </si>
  <si>
    <t>Celine Kate T. Celestial</t>
  </si>
  <si>
    <t>Jenny Marie R. Demore</t>
  </si>
  <si>
    <t>Joven C. Borjal</t>
  </si>
  <si>
    <t>Mike Ayo T. Mengullo</t>
  </si>
  <si>
    <t>Patricia Antonette M. Dangan</t>
  </si>
  <si>
    <t>Rossel Locsin</t>
  </si>
  <si>
    <t>Carol T. Mills</t>
  </si>
  <si>
    <t>Dachel Marie F. Vigal</t>
  </si>
  <si>
    <t>Thomas Jason O. Dejoras</t>
  </si>
  <si>
    <t>Finance - Offices</t>
  </si>
  <si>
    <t>Property Management - Offices</t>
  </si>
  <si>
    <t>Office Leasing</t>
  </si>
  <si>
    <t>Office, Hospitality &amp; Estates Planning &amp; Development</t>
  </si>
  <si>
    <t>Billing &amp; Collection Associate</t>
  </si>
  <si>
    <t>Accounts Payable Associate</t>
  </si>
  <si>
    <t>Billing &amp; Collection Officer</t>
  </si>
  <si>
    <t>Senior Building Engineer</t>
  </si>
  <si>
    <t>Building Engineer</t>
  </si>
  <si>
    <t>Office Leasing Manager</t>
  </si>
  <si>
    <t>Office Leasing Officer</t>
  </si>
  <si>
    <t>VP-Head of Office, Corporate Marketing &amp; Planning</t>
  </si>
  <si>
    <t>Accounting Officer</t>
  </si>
  <si>
    <t>Eloida O. Tubania</t>
  </si>
  <si>
    <t>Estates &amp; Offices Finance</t>
  </si>
  <si>
    <t>Ryan Gil G. Moreno</t>
  </si>
  <si>
    <t>Marvin Christopher M. Llacuna</t>
  </si>
  <si>
    <t>Shayne Marion C. Caday</t>
  </si>
  <si>
    <t>Benjamin S. Borja</t>
  </si>
  <si>
    <t>Desiree I. Toraldo</t>
  </si>
  <si>
    <t>Edgar A. De Vera</t>
  </si>
  <si>
    <t>Franklin G. Estoy</t>
  </si>
  <si>
    <t>John Carlo A. Zamora</t>
  </si>
  <si>
    <t>Jonathan M. Fabricante</t>
  </si>
  <si>
    <t>June Jesus F. Vazquez</t>
  </si>
  <si>
    <t>Kristine May O. Alcantara</t>
  </si>
  <si>
    <t>Mark Joseph A. Tubac</t>
  </si>
  <si>
    <t>Ralph Jason U. Fajardo</t>
  </si>
  <si>
    <t>Renee Cajardo</t>
  </si>
  <si>
    <t>Robert S. Lao</t>
  </si>
  <si>
    <t>Ronald John O. Gregorio</t>
  </si>
  <si>
    <t>Jonnalyn P. Ayala</t>
  </si>
  <si>
    <t>Estates Operations</t>
  </si>
  <si>
    <t>Estates &amp; Property Management &amp; Technical Services Group</t>
  </si>
  <si>
    <t>Estates Finance</t>
  </si>
  <si>
    <t>Estates Design &amp; Planning</t>
  </si>
  <si>
    <t>Estates And Property Management Group</t>
  </si>
  <si>
    <t>Estate Operations Head</t>
  </si>
  <si>
    <t>Senior Property Services &amp; Safety Officer</t>
  </si>
  <si>
    <t>AVP - Property Management</t>
  </si>
  <si>
    <t>Junior Architect</t>
  </si>
  <si>
    <t>Associate Manager</t>
  </si>
  <si>
    <t>Estate Operations Associate</t>
  </si>
  <si>
    <t>Senior Estate Operations Associate</t>
  </si>
  <si>
    <t>AVP, Head of Estates Planning and Design</t>
  </si>
  <si>
    <t>AVP – Head of Estates &amp; Property Management Group</t>
  </si>
  <si>
    <t>Senior Administrative Officer</t>
  </si>
  <si>
    <t>Architect</t>
  </si>
  <si>
    <t>Senior Vice President and Head of Estates</t>
  </si>
  <si>
    <t>Senior Technical Services Architect</t>
  </si>
  <si>
    <t>Administrative Associate</t>
  </si>
  <si>
    <t>Anna Mariel Remedios A. Delfin</t>
  </si>
  <si>
    <t>Darlene P. Ancheta</t>
  </si>
  <si>
    <t>Janicka Alecxie C. Javier</t>
  </si>
  <si>
    <t>Kristine O. Joren</t>
  </si>
  <si>
    <t>Leah Mae C. Reyes</t>
  </si>
  <si>
    <t>Mae A. Asi</t>
  </si>
  <si>
    <t>Rhea B. Aclan</t>
  </si>
  <si>
    <t>Sara Joy A. Barreno</t>
  </si>
  <si>
    <t>Zabdiel Lyka Evanne C. Tosio</t>
  </si>
  <si>
    <t>Angelica E. Policarpio</t>
  </si>
  <si>
    <t>Joey H. Lasanas</t>
  </si>
  <si>
    <t>Katherine A. Pacoma</t>
  </si>
  <si>
    <t>Krisha R. Eusebio</t>
  </si>
  <si>
    <t>Leansley G. Pascua</t>
  </si>
  <si>
    <t>Ma. Charmaine T. De Castro</t>
  </si>
  <si>
    <t>Mayca Joy M. Amante</t>
  </si>
  <si>
    <t>Nina Roxan A. Dela Cruz</t>
  </si>
  <si>
    <t>Winnie T. Tumandao</t>
  </si>
  <si>
    <t>Residential Leasing &amp; Corporate Sales</t>
  </si>
  <si>
    <t>RBU Marketing</t>
  </si>
  <si>
    <t>Project Development - RBU</t>
  </si>
  <si>
    <t>RBU Finance</t>
  </si>
  <si>
    <t>RBU Billing &amp; Collection</t>
  </si>
  <si>
    <t>RBU Systems</t>
  </si>
  <si>
    <t>Associate Residential Leasing Manager</t>
  </si>
  <si>
    <t>Marketing Administrative Associate</t>
  </si>
  <si>
    <t>Marketing Associate</t>
  </si>
  <si>
    <t>Project Development Associate</t>
  </si>
  <si>
    <t>Marketing Officer</t>
  </si>
  <si>
    <t>Systems Analyst</t>
  </si>
  <si>
    <t>Billing &amp; Collection Manager</t>
  </si>
  <si>
    <t>Senior Marketing Associate</t>
  </si>
  <si>
    <t>Associate Project Development Manager</t>
  </si>
  <si>
    <t>Senior Billing &amp; Collection Officer</t>
  </si>
  <si>
    <t>Senior Project Development Manager</t>
  </si>
  <si>
    <t>Associate Manager Business Systems</t>
  </si>
  <si>
    <t>RBU Marketing Manager</t>
  </si>
  <si>
    <t>Handover Team</t>
  </si>
  <si>
    <t>Aliana Renee B. Ortonio</t>
  </si>
  <si>
    <t>Andrei Paul C. Lustre</t>
  </si>
  <si>
    <t>Angela Mariz C. Tarrobal</t>
  </si>
  <si>
    <t>Anne Robert S. Dolleton</t>
  </si>
  <si>
    <t>Arna Regina B. Mallari</t>
  </si>
  <si>
    <t>Arvin John M. Pangiligan</t>
  </si>
  <si>
    <t>Bernadeth G. Garcia</t>
  </si>
  <si>
    <t>Carl-G Boie M. Ileto</t>
  </si>
  <si>
    <t>David Jefferson F. Hanga-an</t>
  </si>
  <si>
    <t>Destine M. Dimaculangan</t>
  </si>
  <si>
    <t>Hazelline Joy S. Goles</t>
  </si>
  <si>
    <t>Ianne Ashley H. Del Rosario</t>
  </si>
  <si>
    <t>Kristofferson G. Rodriguez</t>
  </si>
  <si>
    <t>Mary Joy F. Elizon</t>
  </si>
  <si>
    <t>Monica David</t>
  </si>
  <si>
    <t>Nicole B. Italia</t>
  </si>
  <si>
    <t>Renie-Len M. Espiritu</t>
  </si>
  <si>
    <t>Rie Kim B. Dela Cruz</t>
  </si>
  <si>
    <t>Jocilyn A. Mendoza</t>
  </si>
  <si>
    <t>Louis Ranier E. Concepcion</t>
  </si>
  <si>
    <t>Handover Assistant</t>
  </si>
  <si>
    <t>Handover Architect</t>
  </si>
  <si>
    <t>Associate Handover Manager</t>
  </si>
  <si>
    <t>Senior Handover Officer</t>
  </si>
  <si>
    <t>Senior Handover Associate</t>
  </si>
  <si>
    <t>RBU Utilities Liaison Manager</t>
  </si>
  <si>
    <t>Handover Manager</t>
  </si>
  <si>
    <t>Abegail V. Tuloza</t>
  </si>
  <si>
    <t>Angelica P. Romo</t>
  </si>
  <si>
    <t>Anjelika J. Satorre</t>
  </si>
  <si>
    <t>Cristine Joy M. Oxinio</t>
  </si>
  <si>
    <t>Eunice L. Balverde</t>
  </si>
  <si>
    <t>Jayvee F. Rodriguez</t>
  </si>
  <si>
    <t>Jerina Reine S. Peñaflor</t>
  </si>
  <si>
    <t>Joanne P. Sardoma</t>
  </si>
  <si>
    <t>John Patrick G. David</t>
  </si>
  <si>
    <t>Joshua C. Cano</t>
  </si>
  <si>
    <t>Joy Fernando</t>
  </si>
  <si>
    <t>Lovely I. Lilangan</t>
  </si>
  <si>
    <t>Ma. Lourdes S. Gumayan</t>
  </si>
  <si>
    <t>Mac Joven M. Eleazar</t>
  </si>
  <si>
    <t>Martha Kristina N. Serquiña</t>
  </si>
  <si>
    <t>Michael Eduard K. Arroyo</t>
  </si>
  <si>
    <t>Paulina Alexandra C. Aguilar</t>
  </si>
  <si>
    <t>Princess Sarah J. Labong</t>
  </si>
  <si>
    <t>Renelyn G. Octavo</t>
  </si>
  <si>
    <t>Sara Jane F. Pantanilla</t>
  </si>
  <si>
    <t>Tristan O. Bucasas</t>
  </si>
  <si>
    <t>Jennalyn J. Belardo</t>
  </si>
  <si>
    <t>Ma. Aireen Jo H. Garcia</t>
  </si>
  <si>
    <t>Sales Processing Group</t>
  </si>
  <si>
    <t>Sales Channel Management</t>
  </si>
  <si>
    <t>Property Sales</t>
  </si>
  <si>
    <t>Sales Development &amp; HR</t>
  </si>
  <si>
    <t>Sales HR</t>
  </si>
  <si>
    <t>Sales Operations</t>
  </si>
  <si>
    <t>Sales Admin Associate</t>
  </si>
  <si>
    <t>Senior Sales Channel Management Associate</t>
  </si>
  <si>
    <t>Sales Engagement Associate</t>
  </si>
  <si>
    <t>Sales Processing Group Associate</t>
  </si>
  <si>
    <t>Site Officer</t>
  </si>
  <si>
    <t>Sales Processing Group Lead</t>
  </si>
  <si>
    <t>Sales Facilities and Asset Management Officer</t>
  </si>
  <si>
    <t>Sales Training Officer</t>
  </si>
  <si>
    <t>Senior Sales Processing Group Associate</t>
  </si>
  <si>
    <t>Sales HR Officer</t>
  </si>
  <si>
    <t>Sales Processing Group Officer</t>
  </si>
  <si>
    <t>Senior Sales HR Associate</t>
  </si>
  <si>
    <t>Sales Development &amp; HR Manager</t>
  </si>
  <si>
    <t>Sales Channel Management Head</t>
  </si>
  <si>
    <t>Sales HR Associate</t>
  </si>
  <si>
    <t>Sales Talent Acquisition Officer</t>
  </si>
  <si>
    <t>Vice President &amp; SBU Head of the Residential Business Unit</t>
  </si>
  <si>
    <t>Head of Sales &amp; Sales Support Group</t>
  </si>
  <si>
    <t>Documentation &amp; Contracts Management</t>
  </si>
  <si>
    <t>Finance - Property</t>
  </si>
  <si>
    <t>Customer Care Department</t>
  </si>
  <si>
    <t>Treasury Operations</t>
  </si>
  <si>
    <t>Procurement</t>
  </si>
  <si>
    <t>Budget, Controls &amp; Analysis</t>
  </si>
  <si>
    <t>Trade Fairs &amp; Exhibits</t>
  </si>
  <si>
    <t>Technical Services Group</t>
  </si>
  <si>
    <t>Leasing</t>
  </si>
  <si>
    <t>OMD Marketing</t>
  </si>
  <si>
    <t>OMD Billing &amp; Collection</t>
  </si>
  <si>
    <t>Security Department</t>
  </si>
  <si>
    <t>Business Process Management</t>
  </si>
  <si>
    <t>Mancom</t>
  </si>
  <si>
    <t>Corporate Finance</t>
  </si>
  <si>
    <t>Construction Management</t>
  </si>
  <si>
    <t>Design &amp; Planning</t>
  </si>
  <si>
    <t>Corporate Marketing</t>
  </si>
  <si>
    <t>Tax</t>
  </si>
  <si>
    <t>Treasury Services</t>
  </si>
  <si>
    <t>External Affairs</t>
  </si>
  <si>
    <t>Corporate Planning Department</t>
  </si>
  <si>
    <t>Internal Audit</t>
  </si>
  <si>
    <t>Hotel &amp; Resort Business</t>
  </si>
  <si>
    <t>Project Finance</t>
  </si>
  <si>
    <t>Legal Department</t>
  </si>
  <si>
    <t>Corporate Finance &amp; Tax and CAC Finance</t>
  </si>
  <si>
    <t>Centralized? (Y/N)</t>
  </si>
  <si>
    <t>Y</t>
  </si>
  <si>
    <t>N</t>
  </si>
  <si>
    <t>Office of the CFO</t>
  </si>
  <si>
    <t>Module 1 - Annual Budget Setting</t>
  </si>
  <si>
    <t>Forecast</t>
  </si>
  <si>
    <t>General &amp; Administrative Expenses (GAE)</t>
  </si>
  <si>
    <t>Direct Operating Expenses (DOE)</t>
  </si>
  <si>
    <t>Non-Project Capex (NPC)</t>
  </si>
  <si>
    <t>Revenue</t>
  </si>
  <si>
    <t>New Request</t>
  </si>
  <si>
    <t>Additional Manpower</t>
  </si>
  <si>
    <t>My Requests</t>
  </si>
  <si>
    <t>Inbox</t>
  </si>
  <si>
    <t>Module 2 - Budget Utilization Tracking</t>
  </si>
  <si>
    <t>Operating Expenses (GAE &amp; DOE)</t>
  </si>
  <si>
    <t>Dash Flow Payment Request Ticket - Budget Check</t>
  </si>
  <si>
    <t>Departmental Overview</t>
  </si>
  <si>
    <t>Live Reconciliation</t>
  </si>
  <si>
    <t>Module 3 - Budget Transfer &amp; Reallocation</t>
  </si>
  <si>
    <t>New Transfer</t>
  </si>
  <si>
    <t>My Transfers</t>
  </si>
  <si>
    <t>New Internal Order Request</t>
  </si>
  <si>
    <t>My Internal Order Requests</t>
  </si>
  <si>
    <t>Module 4 - Budget Report &amp; Analysis</t>
  </si>
  <si>
    <t>Budget vs Actual</t>
  </si>
  <si>
    <t>Budget vs Forecast</t>
  </si>
  <si>
    <t>Actual vs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</si>
</sst>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0BAE-5D26-4043-9D98-D37FCA4EEFE1}">
  <dimension ref="A2:A35"/>
  <sheetViews>
    <sheetView tabSelected="1" topLeftCell="A14" zoomScale="80" zoomScaleNormal="80" workbookViewId="0">
      <selection activeCell="A36" sqref="A36"/>
    </sheetView>
  </sheetViews>
  <sheetFormatPr defaultRowHeight="14.5" x14ac:dyDescent="0.35"/>
  <cols>
    <col min="1" max="1" width="42.6328125" bestFit="1" customWidth="1"/>
  </cols>
  <sheetData>
    <row r="2" spans="1:1" x14ac:dyDescent="0.35">
      <c r="A2" s="1" t="s">
        <v>318</v>
      </c>
    </row>
    <row r="3" spans="1:1" x14ac:dyDescent="0.35">
      <c r="A3" t="s">
        <v>319</v>
      </c>
    </row>
    <row r="4" spans="1:1" x14ac:dyDescent="0.35">
      <c r="A4" s="2" t="s">
        <v>320</v>
      </c>
    </row>
    <row r="5" spans="1:1" x14ac:dyDescent="0.35">
      <c r="A5" s="2" t="s">
        <v>321</v>
      </c>
    </row>
    <row r="6" spans="1:1" x14ac:dyDescent="0.35">
      <c r="A6" s="2" t="s">
        <v>322</v>
      </c>
    </row>
    <row r="7" spans="1:1" x14ac:dyDescent="0.35">
      <c r="A7" s="2" t="s">
        <v>323</v>
      </c>
    </row>
    <row r="8" spans="1:1" x14ac:dyDescent="0.35">
      <c r="A8" s="3" t="s">
        <v>324</v>
      </c>
    </row>
    <row r="9" spans="1:1" x14ac:dyDescent="0.35">
      <c r="A9" s="2" t="s">
        <v>320</v>
      </c>
    </row>
    <row r="10" spans="1:1" x14ac:dyDescent="0.35">
      <c r="A10" s="2" t="s">
        <v>321</v>
      </c>
    </row>
    <row r="11" spans="1:1" x14ac:dyDescent="0.35">
      <c r="A11" s="2" t="s">
        <v>322</v>
      </c>
    </row>
    <row r="12" spans="1:1" x14ac:dyDescent="0.35">
      <c r="A12" s="2" t="s">
        <v>323</v>
      </c>
    </row>
    <row r="13" spans="1:1" x14ac:dyDescent="0.35">
      <c r="A13" s="2" t="s">
        <v>325</v>
      </c>
    </row>
    <row r="14" spans="1:1" x14ac:dyDescent="0.35">
      <c r="A14" s="3" t="s">
        <v>326</v>
      </c>
    </row>
    <row r="15" spans="1:1" x14ac:dyDescent="0.35">
      <c r="A15" s="3" t="s">
        <v>327</v>
      </c>
    </row>
    <row r="17" spans="1:1" x14ac:dyDescent="0.35">
      <c r="A17" s="1" t="s">
        <v>328</v>
      </c>
    </row>
    <row r="18" spans="1:1" x14ac:dyDescent="0.35">
      <c r="A18" t="s">
        <v>329</v>
      </c>
    </row>
    <row r="19" spans="1:1" x14ac:dyDescent="0.35">
      <c r="A19" s="2" t="s">
        <v>331</v>
      </c>
    </row>
    <row r="20" spans="1:1" x14ac:dyDescent="0.35">
      <c r="A20" s="2" t="s">
        <v>332</v>
      </c>
    </row>
    <row r="21" spans="1:1" x14ac:dyDescent="0.35">
      <c r="A21" t="s">
        <v>322</v>
      </c>
    </row>
    <row r="22" spans="1:1" x14ac:dyDescent="0.35">
      <c r="A22" t="s">
        <v>330</v>
      </c>
    </row>
    <row r="24" spans="1:1" x14ac:dyDescent="0.35">
      <c r="A24" s="1" t="s">
        <v>333</v>
      </c>
    </row>
    <row r="25" spans="1:1" x14ac:dyDescent="0.35">
      <c r="A25" t="s">
        <v>334</v>
      </c>
    </row>
    <row r="26" spans="1:1" x14ac:dyDescent="0.35">
      <c r="A26" t="s">
        <v>335</v>
      </c>
    </row>
    <row r="27" spans="1:1" x14ac:dyDescent="0.35">
      <c r="A27" t="s">
        <v>327</v>
      </c>
    </row>
    <row r="28" spans="1:1" x14ac:dyDescent="0.35">
      <c r="A28" t="s">
        <v>336</v>
      </c>
    </row>
    <row r="29" spans="1:1" x14ac:dyDescent="0.35">
      <c r="A29" t="s">
        <v>337</v>
      </c>
    </row>
    <row r="30" spans="1:1" x14ac:dyDescent="0.35">
      <c r="A30" t="s">
        <v>327</v>
      </c>
    </row>
    <row r="32" spans="1:1" x14ac:dyDescent="0.35">
      <c r="A32" s="1" t="s">
        <v>338</v>
      </c>
    </row>
    <row r="33" spans="1:1" x14ac:dyDescent="0.35">
      <c r="A33" t="s">
        <v>339</v>
      </c>
    </row>
    <row r="34" spans="1:1" x14ac:dyDescent="0.35">
      <c r="A34" t="s">
        <v>340</v>
      </c>
    </row>
    <row r="35" spans="1:1" x14ac:dyDescent="0.35">
      <c r="A35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4B71-DB9B-4C64-87A8-56216E6DDF79}">
  <dimension ref="A2:E150"/>
  <sheetViews>
    <sheetView zoomScale="70" zoomScaleNormal="70" workbookViewId="0">
      <pane ySplit="2" topLeftCell="A123" activePane="bottomLeft" state="frozen"/>
      <selection pane="bottomLeft" activeCell="B150" sqref="B150"/>
    </sheetView>
  </sheetViews>
  <sheetFormatPr defaultRowHeight="14.5" x14ac:dyDescent="0.35"/>
  <cols>
    <col min="1" max="1" width="15" bestFit="1" customWidth="1"/>
    <col min="2" max="2" width="24.54296875" bestFit="1" customWidth="1"/>
    <col min="3" max="3" width="38.36328125" bestFit="1" customWidth="1"/>
    <col min="4" max="4" width="51.08984375" bestFit="1" customWidth="1"/>
    <col min="5" max="5" width="29.54296875" bestFit="1" customWidth="1"/>
  </cols>
  <sheetData>
    <row r="2" spans="1:5" s="1" customFormat="1" x14ac:dyDescent="0.35">
      <c r="A2" s="1" t="s">
        <v>30</v>
      </c>
      <c r="B2" s="1" t="s">
        <v>0</v>
      </c>
      <c r="C2" s="1" t="s">
        <v>2</v>
      </c>
      <c r="D2" s="1" t="s">
        <v>14</v>
      </c>
      <c r="E2" s="1" t="s">
        <v>1</v>
      </c>
    </row>
    <row r="3" spans="1:5" x14ac:dyDescent="0.35">
      <c r="A3" t="s">
        <v>3</v>
      </c>
      <c r="B3" t="s">
        <v>4</v>
      </c>
      <c r="C3" t="s">
        <v>15</v>
      </c>
      <c r="D3" t="s">
        <v>16</v>
      </c>
      <c r="E3" t="str">
        <f>LOWER(TRIM(RIGHT(SUBSTITUTE(B3, " ", REPT(" ", 100)), 100)) &amp; LEFT(B3, 1) &amp; IF(LEN(B3)-LEN(SUBSTITUTE(B3, " ", ""))&gt;=2, MID(B3, FIND(" ", B3)+1, 1), "") &amp; IF(LEN(B3)-LEN(SUBSTITUTE(B3, " ", ""))&gt;=3, MID(B3, FIND(" ", B3, FIND(" ", B3)+1)+1, 1), "") &amp; "@ortigas.com.ph")</f>
        <v>seldajp@ortigas.com.ph</v>
      </c>
    </row>
    <row r="4" spans="1:5" x14ac:dyDescent="0.35">
      <c r="A4" t="s">
        <v>3</v>
      </c>
      <c r="B4" t="s">
        <v>5</v>
      </c>
      <c r="C4" t="s">
        <v>15</v>
      </c>
      <c r="D4" t="s">
        <v>16</v>
      </c>
      <c r="E4" t="str">
        <f t="shared" ref="E4:E20" si="0">LOWER(TRIM(RIGHT(SUBSTITUTE(B4, " ", REPT(" ", 100)), 100)) &amp; LEFT(B4, 1) &amp; IF(LEN(B4)-LEN(SUBSTITUTE(B4, " ", ""))&gt;=2, MID(B4, FIND(" ", B4)+1, 1), "") &amp; IF(LEN(B4)-LEN(SUBSTITUTE(B4, " ", ""))&gt;=3, MID(B4, FIND(" ", B4, FIND(" ", B4)+1)+1, 1), "") &amp; "@ortigas.com.ph")</f>
        <v>alsolamrn@ortigas.com.ph</v>
      </c>
    </row>
    <row r="5" spans="1:5" x14ac:dyDescent="0.35">
      <c r="A5" t="s">
        <v>3</v>
      </c>
      <c r="B5" t="s">
        <v>6</v>
      </c>
      <c r="C5" t="s">
        <v>15</v>
      </c>
      <c r="D5" t="s">
        <v>17</v>
      </c>
      <c r="E5" t="str">
        <f t="shared" si="0"/>
        <v>corpinag@ortigas.com.ph</v>
      </c>
    </row>
    <row r="6" spans="1:5" x14ac:dyDescent="0.35">
      <c r="A6" t="s">
        <v>3</v>
      </c>
      <c r="B6" t="s">
        <v>7</v>
      </c>
      <c r="C6" t="s">
        <v>15</v>
      </c>
      <c r="D6" t="s">
        <v>18</v>
      </c>
      <c r="E6" t="str">
        <f t="shared" si="0"/>
        <v>villaminca@ortigas.com.ph</v>
      </c>
    </row>
    <row r="7" spans="1:5" x14ac:dyDescent="0.35">
      <c r="A7" t="s">
        <v>3</v>
      </c>
      <c r="B7" t="s">
        <v>8</v>
      </c>
      <c r="C7" t="s">
        <v>15</v>
      </c>
      <c r="D7" t="s">
        <v>19</v>
      </c>
      <c r="E7" t="str">
        <f t="shared" si="0"/>
        <v>reajpm@ortigas.com.ph</v>
      </c>
    </row>
    <row r="8" spans="1:5" x14ac:dyDescent="0.35">
      <c r="A8" t="s">
        <v>3</v>
      </c>
      <c r="B8" t="s">
        <v>9</v>
      </c>
      <c r="C8" t="s">
        <v>15</v>
      </c>
      <c r="D8" t="s">
        <v>19</v>
      </c>
      <c r="E8" t="str">
        <f t="shared" si="0"/>
        <v>solemnejce@ortigas.com.ph</v>
      </c>
    </row>
    <row r="9" spans="1:5" x14ac:dyDescent="0.35">
      <c r="A9" t="s">
        <v>3</v>
      </c>
      <c r="B9" t="s">
        <v>10</v>
      </c>
      <c r="C9" t="s">
        <v>15</v>
      </c>
      <c r="D9" t="s">
        <v>20</v>
      </c>
      <c r="E9" t="str">
        <f t="shared" si="0"/>
        <v>gotosmcr@ortigas.com.ph</v>
      </c>
    </row>
    <row r="10" spans="1:5" x14ac:dyDescent="0.35">
      <c r="A10" t="s">
        <v>3</v>
      </c>
      <c r="B10" t="s">
        <v>11</v>
      </c>
      <c r="C10" t="s">
        <v>15</v>
      </c>
      <c r="D10" t="s">
        <v>21</v>
      </c>
      <c r="E10" t="str">
        <f t="shared" si="0"/>
        <v>acbangrt@ortigas.com.ph</v>
      </c>
    </row>
    <row r="11" spans="1:5" x14ac:dyDescent="0.35">
      <c r="A11" t="s">
        <v>3</v>
      </c>
      <c r="B11" t="s">
        <v>12</v>
      </c>
      <c r="C11" t="s">
        <v>15</v>
      </c>
      <c r="D11" t="s">
        <v>17</v>
      </c>
      <c r="E11" t="str">
        <f t="shared" si="0"/>
        <v>quijanorhc@ortigas.com.ph</v>
      </c>
    </row>
    <row r="12" spans="1:5" x14ac:dyDescent="0.35">
      <c r="A12" t="s">
        <v>3</v>
      </c>
      <c r="B12" t="s">
        <v>13</v>
      </c>
      <c r="C12" t="s">
        <v>15</v>
      </c>
      <c r="D12" t="s">
        <v>22</v>
      </c>
      <c r="E12" t="str">
        <f t="shared" si="0"/>
        <v>quiatrb@ortigas.com.ph</v>
      </c>
    </row>
    <row r="13" spans="1:5" x14ac:dyDescent="0.35">
      <c r="A13" t="s">
        <v>34</v>
      </c>
      <c r="B13" t="s">
        <v>35</v>
      </c>
      <c r="C13" t="s">
        <v>37</v>
      </c>
      <c r="D13" t="s">
        <v>38</v>
      </c>
      <c r="E13" t="str">
        <f t="shared" si="0"/>
        <v>sandejasbna@ortigas.com.ph</v>
      </c>
    </row>
    <row r="14" spans="1:5" x14ac:dyDescent="0.35">
      <c r="A14" t="s">
        <v>34</v>
      </c>
      <c r="B14" t="s">
        <v>36</v>
      </c>
      <c r="C14" t="s">
        <v>37</v>
      </c>
      <c r="D14" t="s">
        <v>39</v>
      </c>
      <c r="E14" t="str">
        <f t="shared" si="0"/>
        <v>tenederocc@ortigas.com.ph</v>
      </c>
    </row>
    <row r="15" spans="1:5" x14ac:dyDescent="0.35">
      <c r="A15" t="s">
        <v>33</v>
      </c>
      <c r="B15" t="s">
        <v>41</v>
      </c>
      <c r="C15" t="s">
        <v>40</v>
      </c>
      <c r="D15" t="s">
        <v>47</v>
      </c>
      <c r="E15" t="str">
        <f t="shared" si="0"/>
        <v>jimenezaer@ortigas.com.ph</v>
      </c>
    </row>
    <row r="16" spans="1:5" x14ac:dyDescent="0.35">
      <c r="A16" t="s">
        <v>33</v>
      </c>
      <c r="B16" t="s">
        <v>42</v>
      </c>
      <c r="C16" t="s">
        <v>40</v>
      </c>
      <c r="D16" t="s">
        <v>48</v>
      </c>
      <c r="E16" t="str">
        <f t="shared" si="0"/>
        <v>abendaniod@ortigas.com.ph</v>
      </c>
    </row>
    <row r="17" spans="1:5" x14ac:dyDescent="0.35">
      <c r="A17" t="s">
        <v>33</v>
      </c>
      <c r="B17" t="s">
        <v>43</v>
      </c>
      <c r="C17" t="s">
        <v>40</v>
      </c>
      <c r="D17" t="s">
        <v>47</v>
      </c>
      <c r="E17" t="str">
        <f t="shared" si="0"/>
        <v>caparasmki@ortigas.com.ph</v>
      </c>
    </row>
    <row r="18" spans="1:5" x14ac:dyDescent="0.35">
      <c r="A18" t="s">
        <v>33</v>
      </c>
      <c r="B18" t="s">
        <v>44</v>
      </c>
      <c r="C18" t="s">
        <v>40</v>
      </c>
      <c r="D18" t="s">
        <v>49</v>
      </c>
      <c r="E18" t="str">
        <f t="shared" si="0"/>
        <v>monismg@ortigas.com.ph</v>
      </c>
    </row>
    <row r="19" spans="1:5" x14ac:dyDescent="0.35">
      <c r="A19" t="s">
        <v>33</v>
      </c>
      <c r="B19" t="s">
        <v>45</v>
      </c>
      <c r="C19" t="s">
        <v>40</v>
      </c>
      <c r="D19" t="s">
        <v>50</v>
      </c>
      <c r="E19" t="str">
        <f t="shared" si="0"/>
        <v>reyesns@ortigas.com.ph</v>
      </c>
    </row>
    <row r="20" spans="1:5" x14ac:dyDescent="0.35">
      <c r="A20" t="s">
        <v>33</v>
      </c>
      <c r="B20" t="s">
        <v>46</v>
      </c>
      <c r="C20" t="s">
        <v>40</v>
      </c>
      <c r="D20" t="s">
        <v>51</v>
      </c>
      <c r="E20" t="str">
        <f t="shared" si="0"/>
        <v>villanuevaru@ortigas.com.ph</v>
      </c>
    </row>
    <row r="21" spans="1:5" x14ac:dyDescent="0.35">
      <c r="A21" t="s">
        <v>31</v>
      </c>
      <c r="B21" t="s">
        <v>52</v>
      </c>
      <c r="C21" t="s">
        <v>65</v>
      </c>
      <c r="D21" t="s">
        <v>66</v>
      </c>
      <c r="E21" t="str">
        <f>LOWER(TRIM(RIGHT(SUBSTITUTE(B21, " ", REPT(" ", 100)), 100)) &amp; LEFT(B21, 1) &amp; IF(LEN(B21)-LEN(SUBSTITUTE(B21, " ", ""))&gt;=2, MID(B21, FIND(" ", B21)+1, 1), "") &amp; IF(LEN(B21)-LEN(SUBSTITUTE(B21, " ", ""))&gt;=3, MID(B21, FIND(" ", B21, FIND(" ", B21)+1)+1, 1), "") &amp; "@ortigas.com.ph")</f>
        <v>natividadaja@ortigas.com.ph</v>
      </c>
    </row>
    <row r="22" spans="1:5" x14ac:dyDescent="0.35">
      <c r="A22" t="s">
        <v>31</v>
      </c>
      <c r="B22" t="s">
        <v>53</v>
      </c>
      <c r="C22" t="s">
        <v>65</v>
      </c>
      <c r="D22" t="s">
        <v>66</v>
      </c>
      <c r="E22" t="str">
        <f t="shared" ref="E22:E43" si="1">LOWER(TRIM(RIGHT(SUBSTITUTE(B22, " ", REPT(" ", 100)), 100)) &amp; LEFT(B22, 1) &amp; IF(LEN(B22)-LEN(SUBSTITUTE(B22, " ", ""))&gt;=2, MID(B22, FIND(" ", B22)+1, 1), "") &amp; IF(LEN(B22)-LEN(SUBSTITUTE(B22, " ", ""))&gt;=3, MID(B22, FIND(" ", B22, FIND(" ", B22)+1)+1, 1), "") &amp; "@ortigas.com.ph")</f>
        <v>regloscab@ortigas.com.ph</v>
      </c>
    </row>
    <row r="23" spans="1:5" x14ac:dyDescent="0.35">
      <c r="A23" t="s">
        <v>31</v>
      </c>
      <c r="B23" t="s">
        <v>54</v>
      </c>
      <c r="C23" t="s">
        <v>65</v>
      </c>
      <c r="D23" t="s">
        <v>67</v>
      </c>
      <c r="E23" t="str">
        <f t="shared" si="1"/>
        <v>averilladdc@ortigas.com.ph</v>
      </c>
    </row>
    <row r="24" spans="1:5" x14ac:dyDescent="0.35">
      <c r="A24" t="s">
        <v>31</v>
      </c>
      <c r="B24" t="s">
        <v>55</v>
      </c>
      <c r="C24" t="s">
        <v>65</v>
      </c>
      <c r="D24" t="s">
        <v>68</v>
      </c>
      <c r="E24" t="str">
        <f t="shared" si="1"/>
        <v>villanuevadri@ortigas.com.ph</v>
      </c>
    </row>
    <row r="25" spans="1:5" x14ac:dyDescent="0.35">
      <c r="A25" t="s">
        <v>31</v>
      </c>
      <c r="B25" t="s">
        <v>56</v>
      </c>
      <c r="C25" t="s">
        <v>65</v>
      </c>
      <c r="D25" t="s">
        <v>67</v>
      </c>
      <c r="E25" t="str">
        <f t="shared" si="1"/>
        <v>patiniojha@ortigas.com.ph</v>
      </c>
    </row>
    <row r="26" spans="1:5" x14ac:dyDescent="0.35">
      <c r="A26" t="s">
        <v>31</v>
      </c>
      <c r="B26" t="s">
        <v>57</v>
      </c>
      <c r="C26" t="s">
        <v>65</v>
      </c>
      <c r="D26" t="s">
        <v>66</v>
      </c>
      <c r="E26" t="str">
        <f t="shared" si="1"/>
        <v>galangjc@ortigas.com.ph</v>
      </c>
    </row>
    <row r="27" spans="1:5" x14ac:dyDescent="0.35">
      <c r="A27" t="s">
        <v>31</v>
      </c>
      <c r="B27" t="s">
        <v>58</v>
      </c>
      <c r="C27" t="s">
        <v>65</v>
      </c>
      <c r="D27" t="s">
        <v>69</v>
      </c>
      <c r="E27" t="str">
        <f t="shared" si="1"/>
        <v>gequillanajps@ortigas.com.ph</v>
      </c>
    </row>
    <row r="28" spans="1:5" x14ac:dyDescent="0.35">
      <c r="A28" t="s">
        <v>31</v>
      </c>
      <c r="B28" t="s">
        <v>59</v>
      </c>
      <c r="C28" t="s">
        <v>65</v>
      </c>
      <c r="D28" t="s">
        <v>70</v>
      </c>
      <c r="E28" t="str">
        <f t="shared" si="1"/>
        <v>siosonjga@ortigas.com.ph</v>
      </c>
    </row>
    <row r="29" spans="1:5" x14ac:dyDescent="0.35">
      <c r="A29" t="s">
        <v>31</v>
      </c>
      <c r="B29" t="s">
        <v>60</v>
      </c>
      <c r="C29" t="s">
        <v>65</v>
      </c>
      <c r="D29" t="s">
        <v>71</v>
      </c>
      <c r="E29" t="str">
        <f t="shared" si="1"/>
        <v>valentonmdl@ortigas.com.ph</v>
      </c>
    </row>
    <row r="30" spans="1:5" x14ac:dyDescent="0.35">
      <c r="A30" t="s">
        <v>31</v>
      </c>
      <c r="B30" t="s">
        <v>61</v>
      </c>
      <c r="C30" t="s">
        <v>65</v>
      </c>
      <c r="D30" t="s">
        <v>72</v>
      </c>
      <c r="E30" t="str">
        <f t="shared" si="1"/>
        <v>ferrerasnl@ortigas.com.ph</v>
      </c>
    </row>
    <row r="31" spans="1:5" x14ac:dyDescent="0.35">
      <c r="A31" t="s">
        <v>31</v>
      </c>
      <c r="B31" t="s">
        <v>62</v>
      </c>
      <c r="C31" t="s">
        <v>65</v>
      </c>
      <c r="D31" t="s">
        <v>67</v>
      </c>
      <c r="E31" t="str">
        <f t="shared" si="1"/>
        <v>javenpab@ortigas.com.ph</v>
      </c>
    </row>
    <row r="32" spans="1:5" x14ac:dyDescent="0.35">
      <c r="A32" t="s">
        <v>31</v>
      </c>
      <c r="B32" t="s">
        <v>63</v>
      </c>
      <c r="C32" t="s">
        <v>65</v>
      </c>
      <c r="D32" t="s">
        <v>73</v>
      </c>
      <c r="E32" t="str">
        <f t="shared" si="1"/>
        <v>marianoejm@ortigas.com.ph</v>
      </c>
    </row>
    <row r="33" spans="1:5" x14ac:dyDescent="0.35">
      <c r="A33" t="s">
        <v>31</v>
      </c>
      <c r="B33" t="s">
        <v>64</v>
      </c>
      <c r="C33" t="s">
        <v>65</v>
      </c>
      <c r="D33" t="s">
        <v>74</v>
      </c>
      <c r="E33" t="str">
        <f t="shared" si="1"/>
        <v>domingogrh@ortigas.com.ph</v>
      </c>
    </row>
    <row r="34" spans="1:5" x14ac:dyDescent="0.35">
      <c r="A34" t="s">
        <v>31</v>
      </c>
      <c r="B34" t="s">
        <v>76</v>
      </c>
      <c r="C34" t="s">
        <v>75</v>
      </c>
      <c r="D34" t="s">
        <v>86</v>
      </c>
      <c r="E34" t="str">
        <f t="shared" si="1"/>
        <v>agcaoilias@ortigas.com.ph</v>
      </c>
    </row>
    <row r="35" spans="1:5" x14ac:dyDescent="0.35">
      <c r="A35" t="s">
        <v>31</v>
      </c>
      <c r="B35" t="s">
        <v>77</v>
      </c>
      <c r="C35" t="s">
        <v>75</v>
      </c>
      <c r="D35" t="s">
        <v>87</v>
      </c>
      <c r="E35" t="str">
        <f t="shared" si="1"/>
        <v>laxamanaca@ortigas.com.ph</v>
      </c>
    </row>
    <row r="36" spans="1:5" x14ac:dyDescent="0.35">
      <c r="A36" t="s">
        <v>31</v>
      </c>
      <c r="B36" t="s">
        <v>78</v>
      </c>
      <c r="C36" t="s">
        <v>75</v>
      </c>
      <c r="D36" t="s">
        <v>88</v>
      </c>
      <c r="E36" t="str">
        <f t="shared" si="1"/>
        <v>pebresja@ortigas.com.ph</v>
      </c>
    </row>
    <row r="37" spans="1:5" x14ac:dyDescent="0.35">
      <c r="A37" t="s">
        <v>31</v>
      </c>
      <c r="B37" t="s">
        <v>79</v>
      </c>
      <c r="C37" t="s">
        <v>75</v>
      </c>
      <c r="D37" t="s">
        <v>89</v>
      </c>
      <c r="E37" t="str">
        <f t="shared" si="1"/>
        <v>daymieljma@ortigas.com.ph</v>
      </c>
    </row>
    <row r="38" spans="1:5" x14ac:dyDescent="0.35">
      <c r="A38" t="s">
        <v>31</v>
      </c>
      <c r="B38" t="s">
        <v>80</v>
      </c>
      <c r="C38" t="s">
        <v>75</v>
      </c>
      <c r="D38" t="s">
        <v>87</v>
      </c>
      <c r="E38" t="str">
        <f t="shared" si="1"/>
        <v>campongsi@ortigas.com.ph</v>
      </c>
    </row>
    <row r="39" spans="1:5" x14ac:dyDescent="0.35">
      <c r="A39" t="s">
        <v>31</v>
      </c>
      <c r="B39" t="s">
        <v>81</v>
      </c>
      <c r="C39" t="s">
        <v>75</v>
      </c>
      <c r="D39" t="s">
        <v>90</v>
      </c>
      <c r="E39" t="str">
        <f t="shared" si="1"/>
        <v>alcantarawe@ortigas.com.ph</v>
      </c>
    </row>
    <row r="40" spans="1:5" x14ac:dyDescent="0.35">
      <c r="A40" t="s">
        <v>31</v>
      </c>
      <c r="B40" t="s">
        <v>82</v>
      </c>
      <c r="C40" t="s">
        <v>75</v>
      </c>
      <c r="D40" t="s">
        <v>91</v>
      </c>
      <c r="E40" t="str">
        <f t="shared" si="1"/>
        <v>mataab@ortigas.com.ph</v>
      </c>
    </row>
    <row r="41" spans="1:5" x14ac:dyDescent="0.35">
      <c r="A41" t="s">
        <v>31</v>
      </c>
      <c r="B41" t="s">
        <v>83</v>
      </c>
      <c r="C41" t="s">
        <v>75</v>
      </c>
      <c r="D41" t="s">
        <v>92</v>
      </c>
      <c r="E41" t="str">
        <f t="shared" si="1"/>
        <v>catiisln@ortigas.com.ph</v>
      </c>
    </row>
    <row r="42" spans="1:5" x14ac:dyDescent="0.35">
      <c r="A42" t="s">
        <v>31</v>
      </c>
      <c r="B42" t="s">
        <v>84</v>
      </c>
      <c r="C42" t="s">
        <v>75</v>
      </c>
      <c r="D42" t="s">
        <v>91</v>
      </c>
      <c r="E42" t="str">
        <f t="shared" si="1"/>
        <v>ferandomcv@ortigas.com.ph</v>
      </c>
    </row>
    <row r="43" spans="1:5" x14ac:dyDescent="0.35">
      <c r="A43" t="s">
        <v>31</v>
      </c>
      <c r="B43" t="s">
        <v>85</v>
      </c>
      <c r="C43" t="s">
        <v>75</v>
      </c>
      <c r="D43" t="s">
        <v>93</v>
      </c>
      <c r="E43" t="str">
        <f t="shared" si="1"/>
        <v>bicerarh@ortigas.com.ph</v>
      </c>
    </row>
    <row r="44" spans="1:5" x14ac:dyDescent="0.35">
      <c r="A44" t="s">
        <v>32</v>
      </c>
      <c r="B44" t="s">
        <v>94</v>
      </c>
      <c r="C44" t="s">
        <v>65</v>
      </c>
      <c r="D44" t="s">
        <v>71</v>
      </c>
      <c r="E44" t="str">
        <f>LOWER(TRIM(RIGHT(SUBSTITUTE(B44, " ", REPT(" ", 100)), 100)) &amp; LEFT(B44, 1) &amp; IF(LEN(B44)-LEN(SUBSTITUTE(B44, " ", ""))&gt;=2, MID(B44, FIND(" ", B44)+1, 1), "") &amp; IF(LEN(B44)-LEN(SUBSTITUTE(B44, " ", ""))&gt;=3, MID(B44, FIND(" ", B44, FIND(" ", B44)+1)+1, 1), "") &amp; "@ortigas.com.ph")</f>
        <v>penalesapy@ortigas.com.ph</v>
      </c>
    </row>
    <row r="45" spans="1:5" x14ac:dyDescent="0.35">
      <c r="A45" t="s">
        <v>32</v>
      </c>
      <c r="B45" t="s">
        <v>95</v>
      </c>
      <c r="C45" t="s">
        <v>65</v>
      </c>
      <c r="D45" t="s">
        <v>67</v>
      </c>
      <c r="E45" t="str">
        <f t="shared" ref="E45:E57" si="2">LOWER(TRIM(RIGHT(SUBSTITUTE(B45, " ", REPT(" ", 100)), 100)) &amp; LEFT(B45, 1) &amp; IF(LEN(B45)-LEN(SUBSTITUTE(B45, " ", ""))&gt;=2, MID(B45, FIND(" ", B45)+1, 1), "") &amp; IF(LEN(B45)-LEN(SUBSTITUTE(B45, " ", ""))&gt;=3, MID(B45, FIND(" ", B45, FIND(" ", B45)+1)+1, 1), "") &amp; "@ortigas.com.ph")</f>
        <v>ocbafa@ortigas.com.ph</v>
      </c>
    </row>
    <row r="46" spans="1:5" x14ac:dyDescent="0.35">
      <c r="A46" t="s">
        <v>32</v>
      </c>
      <c r="B46" t="s">
        <v>96</v>
      </c>
      <c r="C46" t="s">
        <v>65</v>
      </c>
      <c r="D46" t="s">
        <v>72</v>
      </c>
      <c r="E46" t="str">
        <f t="shared" si="2"/>
        <v>ringorjm@ortigas.com.ph</v>
      </c>
    </row>
    <row r="47" spans="1:5" x14ac:dyDescent="0.35">
      <c r="A47" t="s">
        <v>32</v>
      </c>
      <c r="B47" t="s">
        <v>97</v>
      </c>
      <c r="C47" t="s">
        <v>65</v>
      </c>
      <c r="D47" t="s">
        <v>108</v>
      </c>
      <c r="E47" t="str">
        <f t="shared" si="2"/>
        <v>macaranasjvr@ortigas.com.ph</v>
      </c>
    </row>
    <row r="48" spans="1:5" x14ac:dyDescent="0.35">
      <c r="A48" t="s">
        <v>32</v>
      </c>
      <c r="B48" t="s">
        <v>98</v>
      </c>
      <c r="C48" t="s">
        <v>65</v>
      </c>
      <c r="D48" t="s">
        <v>72</v>
      </c>
      <c r="E48" t="str">
        <f t="shared" si="2"/>
        <v>simonjmm@ortigas.com.ph</v>
      </c>
    </row>
    <row r="49" spans="1:5" x14ac:dyDescent="0.35">
      <c r="A49" t="s">
        <v>32</v>
      </c>
      <c r="B49" t="s">
        <v>99</v>
      </c>
      <c r="C49" t="s">
        <v>75</v>
      </c>
      <c r="D49" t="s">
        <v>109</v>
      </c>
      <c r="E49" t="str">
        <f t="shared" si="2"/>
        <v>alicosjaa@ortigas.com.ph</v>
      </c>
    </row>
    <row r="50" spans="1:5" x14ac:dyDescent="0.35">
      <c r="A50" t="s">
        <v>32</v>
      </c>
      <c r="B50" t="s">
        <v>100</v>
      </c>
      <c r="C50" t="s">
        <v>75</v>
      </c>
      <c r="D50" t="s">
        <v>109</v>
      </c>
      <c r="E50" t="str">
        <f t="shared" si="2"/>
        <v>enriquezkma@ortigas.com.ph</v>
      </c>
    </row>
    <row r="51" spans="1:5" x14ac:dyDescent="0.35">
      <c r="A51" t="s">
        <v>32</v>
      </c>
      <c r="B51" t="s">
        <v>101</v>
      </c>
      <c r="C51" t="s">
        <v>65</v>
      </c>
      <c r="D51" t="s">
        <v>110</v>
      </c>
      <c r="E51" t="str">
        <f t="shared" si="2"/>
        <v>sevillamar@ortigas.com.ph</v>
      </c>
    </row>
    <row r="52" spans="1:5" x14ac:dyDescent="0.35">
      <c r="A52" t="s">
        <v>32</v>
      </c>
      <c r="B52" t="s">
        <v>102</v>
      </c>
      <c r="C52" t="s">
        <v>65</v>
      </c>
      <c r="D52" t="s">
        <v>111</v>
      </c>
      <c r="E52" t="str">
        <f t="shared" si="2"/>
        <v>estradarrm@ortigas.com.ph</v>
      </c>
    </row>
    <row r="53" spans="1:5" x14ac:dyDescent="0.35">
      <c r="A53" t="s">
        <v>32</v>
      </c>
      <c r="B53" t="s">
        <v>103</v>
      </c>
      <c r="C53" t="s">
        <v>65</v>
      </c>
      <c r="D53" t="s">
        <v>71</v>
      </c>
      <c r="E53" t="str">
        <f t="shared" si="2"/>
        <v>almoradiere@ortigas.com.ph</v>
      </c>
    </row>
    <row r="54" spans="1:5" x14ac:dyDescent="0.35">
      <c r="A54" t="s">
        <v>32</v>
      </c>
      <c r="B54" t="s">
        <v>104</v>
      </c>
      <c r="C54" t="s">
        <v>65</v>
      </c>
      <c r="D54" t="s">
        <v>111</v>
      </c>
      <c r="E54" t="str">
        <f t="shared" si="2"/>
        <v>mislosrd@ortigas.com.ph</v>
      </c>
    </row>
    <row r="55" spans="1:5" x14ac:dyDescent="0.35">
      <c r="A55" t="s">
        <v>32</v>
      </c>
      <c r="B55" t="s">
        <v>105</v>
      </c>
      <c r="C55" t="s">
        <v>75</v>
      </c>
      <c r="D55" t="s">
        <v>109</v>
      </c>
      <c r="E55" t="str">
        <f t="shared" si="2"/>
        <v>ramirezvrm@ortigas.com.ph</v>
      </c>
    </row>
    <row r="56" spans="1:5" x14ac:dyDescent="0.35">
      <c r="A56" t="s">
        <v>32</v>
      </c>
      <c r="B56" t="s">
        <v>106</v>
      </c>
      <c r="C56" t="s">
        <v>65</v>
      </c>
      <c r="D56" t="s">
        <v>112</v>
      </c>
      <c r="E56" t="str">
        <f t="shared" si="2"/>
        <v>toledojp@ortigas.com.ph</v>
      </c>
    </row>
    <row r="57" spans="1:5" x14ac:dyDescent="0.35">
      <c r="A57" t="s">
        <v>32</v>
      </c>
      <c r="B57" t="s">
        <v>107</v>
      </c>
      <c r="C57" t="s">
        <v>65</v>
      </c>
      <c r="D57" t="s">
        <v>113</v>
      </c>
      <c r="E57" t="str">
        <f t="shared" si="2"/>
        <v>torresrf@ortigas.com.ph</v>
      </c>
    </row>
    <row r="58" spans="1:5" x14ac:dyDescent="0.35">
      <c r="A58" t="s">
        <v>24</v>
      </c>
      <c r="B58" t="s">
        <v>114</v>
      </c>
      <c r="C58" t="s">
        <v>124</v>
      </c>
      <c r="D58" t="s">
        <v>128</v>
      </c>
      <c r="E58" t="str">
        <f>LOWER(TRIM(RIGHT(SUBSTITUTE(B58, " ", REPT(" ", 100)), 100)) &amp; LEFT(B58, 1) &amp; IF(LEN(B58)-LEN(SUBSTITUTE(B58, " ", ""))&gt;=2, MID(B58, FIND(" ", B58)+1, 1), "") &amp; IF(LEN(B58)-LEN(SUBSTITUTE(B58, " ", ""))&gt;=3, MID(B58, FIND(" ", B58, FIND(" ", B58)+1)+1, 1), "") &amp; "@ortigas.com.ph")</f>
        <v>buenaobracc@ortigas.com.ph</v>
      </c>
    </row>
    <row r="59" spans="1:5" x14ac:dyDescent="0.35">
      <c r="A59" t="s">
        <v>24</v>
      </c>
      <c r="B59" t="s">
        <v>115</v>
      </c>
      <c r="C59" t="s">
        <v>124</v>
      </c>
      <c r="D59" t="s">
        <v>129</v>
      </c>
      <c r="E59" t="str">
        <f t="shared" ref="E59:E68" si="3">LOWER(TRIM(RIGHT(SUBSTITUTE(B59, " ", REPT(" ", 100)), 100)) &amp; LEFT(B59, 1) &amp; IF(LEN(B59)-LEN(SUBSTITUTE(B59, " ", ""))&gt;=2, MID(B59, FIND(" ", B59)+1, 1), "") &amp; IF(LEN(B59)-LEN(SUBSTITUTE(B59, " ", ""))&gt;=3, MID(B59, FIND(" ", B59, FIND(" ", B59)+1)+1, 1), "") &amp; "@ortigas.com.ph")</f>
        <v>celestialckt@ortigas.com.ph</v>
      </c>
    </row>
    <row r="60" spans="1:5" x14ac:dyDescent="0.35">
      <c r="A60" t="s">
        <v>24</v>
      </c>
      <c r="B60" t="s">
        <v>116</v>
      </c>
      <c r="C60" t="s">
        <v>124</v>
      </c>
      <c r="D60" t="s">
        <v>130</v>
      </c>
      <c r="E60" t="str">
        <f t="shared" si="3"/>
        <v>demorejmr@ortigas.com.ph</v>
      </c>
    </row>
    <row r="61" spans="1:5" x14ac:dyDescent="0.35">
      <c r="A61" t="s">
        <v>24</v>
      </c>
      <c r="B61" t="s">
        <v>117</v>
      </c>
      <c r="C61" t="s">
        <v>125</v>
      </c>
      <c r="D61" t="s">
        <v>131</v>
      </c>
      <c r="E61" t="str">
        <f t="shared" si="3"/>
        <v>borjaljc@ortigas.com.ph</v>
      </c>
    </row>
    <row r="62" spans="1:5" x14ac:dyDescent="0.35">
      <c r="A62" t="s">
        <v>24</v>
      </c>
      <c r="B62" t="s">
        <v>118</v>
      </c>
      <c r="C62" t="s">
        <v>125</v>
      </c>
      <c r="D62" t="s">
        <v>132</v>
      </c>
      <c r="E62" t="str">
        <f t="shared" si="3"/>
        <v>mengullomat@ortigas.com.ph</v>
      </c>
    </row>
    <row r="63" spans="1:5" x14ac:dyDescent="0.35">
      <c r="A63" t="s">
        <v>24</v>
      </c>
      <c r="B63" t="s">
        <v>119</v>
      </c>
      <c r="C63" t="s">
        <v>126</v>
      </c>
      <c r="D63" t="s">
        <v>133</v>
      </c>
      <c r="E63" t="str">
        <f t="shared" si="3"/>
        <v>danganpam@ortigas.com.ph</v>
      </c>
    </row>
    <row r="64" spans="1:5" x14ac:dyDescent="0.35">
      <c r="A64" t="s">
        <v>24</v>
      </c>
      <c r="B64" t="s">
        <v>120</v>
      </c>
      <c r="C64" t="s">
        <v>126</v>
      </c>
      <c r="D64" t="s">
        <v>134</v>
      </c>
      <c r="E64" t="str">
        <f t="shared" si="3"/>
        <v>locsinr@ortigas.com.ph</v>
      </c>
    </row>
    <row r="65" spans="1:5" x14ac:dyDescent="0.35">
      <c r="A65" t="s">
        <v>24</v>
      </c>
      <c r="B65" t="s">
        <v>121</v>
      </c>
      <c r="C65" t="s">
        <v>127</v>
      </c>
      <c r="D65" t="s">
        <v>135</v>
      </c>
      <c r="E65" t="str">
        <f t="shared" si="3"/>
        <v>millsct@ortigas.com.ph</v>
      </c>
    </row>
    <row r="66" spans="1:5" x14ac:dyDescent="0.35">
      <c r="A66" t="s">
        <v>24</v>
      </c>
      <c r="B66" t="s">
        <v>122</v>
      </c>
      <c r="C66" t="s">
        <v>124</v>
      </c>
      <c r="D66" t="s">
        <v>136</v>
      </c>
      <c r="E66" t="str">
        <f t="shared" si="3"/>
        <v>vigaldmf@ortigas.com.ph</v>
      </c>
    </row>
    <row r="67" spans="1:5" x14ac:dyDescent="0.35">
      <c r="A67" t="s">
        <v>24</v>
      </c>
      <c r="B67" t="s">
        <v>123</v>
      </c>
      <c r="C67" t="s">
        <v>124</v>
      </c>
      <c r="D67" t="s">
        <v>89</v>
      </c>
      <c r="E67" t="str">
        <f t="shared" si="3"/>
        <v>dejorastjo@ortigas.com.ph</v>
      </c>
    </row>
    <row r="68" spans="1:5" x14ac:dyDescent="0.35">
      <c r="A68" t="s">
        <v>24</v>
      </c>
      <c r="B68" t="s">
        <v>137</v>
      </c>
      <c r="C68" t="s">
        <v>138</v>
      </c>
      <c r="D68" t="s">
        <v>90</v>
      </c>
      <c r="E68" t="str">
        <f t="shared" si="3"/>
        <v>tubaniaeo@ortigas.com.ph</v>
      </c>
    </row>
    <row r="69" spans="1:5" x14ac:dyDescent="0.35">
      <c r="A69" t="s">
        <v>25</v>
      </c>
      <c r="B69" t="s">
        <v>139</v>
      </c>
      <c r="C69" t="s">
        <v>156</v>
      </c>
      <c r="D69" t="s">
        <v>161</v>
      </c>
      <c r="E69" t="str">
        <f>LOWER(TRIM(RIGHT(SUBSTITUTE(B69, " ", REPT(" ", 100)), 100)) &amp; LEFT(B69, 1) &amp; IF(LEN(B69)-LEN(SUBSTITUTE(B69, " ", ""))&gt;=2, MID(B69, FIND(" ", B69)+1, 1), "") &amp; IF(LEN(B69)-LEN(SUBSTITUTE(B69, " ", ""))&gt;=3, MID(B69, FIND(" ", B69, FIND(" ", B69)+1)+1, 1), "") &amp; "@ortigas.com.ph")</f>
        <v>morenorgg@ortigas.com.ph</v>
      </c>
    </row>
    <row r="70" spans="1:5" x14ac:dyDescent="0.35">
      <c r="A70" t="s">
        <v>25</v>
      </c>
      <c r="B70" t="s">
        <v>140</v>
      </c>
      <c r="C70" t="s">
        <v>157</v>
      </c>
      <c r="D70" t="s">
        <v>162</v>
      </c>
      <c r="E70" t="str">
        <f t="shared" ref="E70:E87" si="4">LOWER(TRIM(RIGHT(SUBSTITUTE(B70, " ", REPT(" ", 100)), 100)) &amp; LEFT(B70, 1) &amp; IF(LEN(B70)-LEN(SUBSTITUTE(B70, " ", ""))&gt;=2, MID(B70, FIND(" ", B70)+1, 1), "") &amp; IF(LEN(B70)-LEN(SUBSTITUTE(B70, " ", ""))&gt;=3, MID(B70, FIND(" ", B70, FIND(" ", B70)+1)+1, 1), "") &amp; "@ortigas.com.ph")</f>
        <v>llacunamcm@ortigas.com.ph</v>
      </c>
    </row>
    <row r="71" spans="1:5" x14ac:dyDescent="0.35">
      <c r="A71" t="s">
        <v>25</v>
      </c>
      <c r="B71" t="s">
        <v>141</v>
      </c>
      <c r="C71" t="s">
        <v>158</v>
      </c>
      <c r="D71" t="s">
        <v>136</v>
      </c>
      <c r="E71" t="str">
        <f t="shared" si="4"/>
        <v>cadaysmc@ortigas.com.ph</v>
      </c>
    </row>
    <row r="72" spans="1:5" x14ac:dyDescent="0.35">
      <c r="A72" t="s">
        <v>25</v>
      </c>
      <c r="B72" t="s">
        <v>142</v>
      </c>
      <c r="C72" t="s">
        <v>156</v>
      </c>
      <c r="D72" t="s">
        <v>163</v>
      </c>
      <c r="E72" t="str">
        <f t="shared" si="4"/>
        <v>borjabs@ortigas.com.ph</v>
      </c>
    </row>
    <row r="73" spans="1:5" x14ac:dyDescent="0.35">
      <c r="A73" t="s">
        <v>25</v>
      </c>
      <c r="B73" t="s">
        <v>121</v>
      </c>
      <c r="C73" t="s">
        <v>127</v>
      </c>
      <c r="D73" t="s">
        <v>135</v>
      </c>
      <c r="E73" t="str">
        <f t="shared" si="4"/>
        <v>millsct@ortigas.com.ph</v>
      </c>
    </row>
    <row r="74" spans="1:5" x14ac:dyDescent="0.35">
      <c r="A74" t="s">
        <v>25</v>
      </c>
      <c r="B74" t="s">
        <v>143</v>
      </c>
      <c r="C74" t="s">
        <v>159</v>
      </c>
      <c r="D74" t="s">
        <v>164</v>
      </c>
      <c r="E74" t="str">
        <f t="shared" si="4"/>
        <v>toraldodi@ortigas.com.ph</v>
      </c>
    </row>
    <row r="75" spans="1:5" x14ac:dyDescent="0.35">
      <c r="A75" t="s">
        <v>25</v>
      </c>
      <c r="B75" t="s">
        <v>144</v>
      </c>
      <c r="C75" t="s">
        <v>157</v>
      </c>
      <c r="D75" t="s">
        <v>165</v>
      </c>
      <c r="E75" t="str">
        <f t="shared" si="4"/>
        <v>veraead@ortigas.com.ph</v>
      </c>
    </row>
    <row r="76" spans="1:5" x14ac:dyDescent="0.35">
      <c r="A76" t="s">
        <v>25</v>
      </c>
      <c r="B76" t="s">
        <v>137</v>
      </c>
      <c r="C76" t="s">
        <v>138</v>
      </c>
      <c r="D76" t="s">
        <v>90</v>
      </c>
      <c r="E76" t="str">
        <f t="shared" si="4"/>
        <v>tubaniaeo@ortigas.com.ph</v>
      </c>
    </row>
    <row r="77" spans="1:5" x14ac:dyDescent="0.35">
      <c r="A77" t="s">
        <v>25</v>
      </c>
      <c r="B77" t="s">
        <v>145</v>
      </c>
      <c r="C77" t="s">
        <v>156</v>
      </c>
      <c r="D77" t="s">
        <v>166</v>
      </c>
      <c r="E77" t="str">
        <f t="shared" si="4"/>
        <v>estoyfg@ortigas.com.ph</v>
      </c>
    </row>
    <row r="78" spans="1:5" x14ac:dyDescent="0.35">
      <c r="A78" t="s">
        <v>25</v>
      </c>
      <c r="B78" t="s">
        <v>146</v>
      </c>
      <c r="C78" t="s">
        <v>156</v>
      </c>
      <c r="D78" t="s">
        <v>167</v>
      </c>
      <c r="E78" t="str">
        <f t="shared" si="4"/>
        <v>zamorajca@ortigas.com.ph</v>
      </c>
    </row>
    <row r="79" spans="1:5" x14ac:dyDescent="0.35">
      <c r="A79" t="s">
        <v>25</v>
      </c>
      <c r="B79" t="s">
        <v>147</v>
      </c>
      <c r="C79" t="s">
        <v>159</v>
      </c>
      <c r="D79" t="s">
        <v>168</v>
      </c>
      <c r="E79" t="str">
        <f t="shared" si="4"/>
        <v>fabricantejm@ortigas.com.ph</v>
      </c>
    </row>
    <row r="80" spans="1:5" x14ac:dyDescent="0.35">
      <c r="A80" t="s">
        <v>25</v>
      </c>
      <c r="B80" t="s">
        <v>148</v>
      </c>
      <c r="C80" t="s">
        <v>160</v>
      </c>
      <c r="D80" t="s">
        <v>169</v>
      </c>
      <c r="E80" t="str">
        <f t="shared" si="4"/>
        <v>vazquezjjf@ortigas.com.ph</v>
      </c>
    </row>
    <row r="81" spans="1:5" x14ac:dyDescent="0.35">
      <c r="A81" t="s">
        <v>25</v>
      </c>
      <c r="B81" t="s">
        <v>149</v>
      </c>
      <c r="C81" t="s">
        <v>157</v>
      </c>
      <c r="D81" t="s">
        <v>170</v>
      </c>
      <c r="E81" t="str">
        <f t="shared" si="4"/>
        <v>alcantarakmo@ortigas.com.ph</v>
      </c>
    </row>
    <row r="82" spans="1:5" x14ac:dyDescent="0.35">
      <c r="A82" t="s">
        <v>25</v>
      </c>
      <c r="B82" t="s">
        <v>150</v>
      </c>
      <c r="C82" t="s">
        <v>159</v>
      </c>
      <c r="D82" t="s">
        <v>171</v>
      </c>
      <c r="E82" t="str">
        <f t="shared" si="4"/>
        <v>tubacmja@ortigas.com.ph</v>
      </c>
    </row>
    <row r="83" spans="1:5" x14ac:dyDescent="0.35">
      <c r="A83" t="s">
        <v>25</v>
      </c>
      <c r="B83" t="s">
        <v>151</v>
      </c>
      <c r="C83" t="s">
        <v>159</v>
      </c>
      <c r="D83" t="s">
        <v>171</v>
      </c>
      <c r="E83" t="str">
        <f t="shared" si="4"/>
        <v>fajardorju@ortigas.com.ph</v>
      </c>
    </row>
    <row r="84" spans="1:5" x14ac:dyDescent="0.35">
      <c r="A84" t="s">
        <v>25</v>
      </c>
      <c r="B84" t="s">
        <v>152</v>
      </c>
      <c r="C84" t="s">
        <v>156</v>
      </c>
      <c r="D84" t="s">
        <v>166</v>
      </c>
      <c r="E84" t="str">
        <f t="shared" si="4"/>
        <v>cajardor@ortigas.com.ph</v>
      </c>
    </row>
    <row r="85" spans="1:5" x14ac:dyDescent="0.35">
      <c r="A85" t="s">
        <v>25</v>
      </c>
      <c r="B85" t="s">
        <v>153</v>
      </c>
      <c r="C85" t="s">
        <v>25</v>
      </c>
      <c r="D85" t="s">
        <v>172</v>
      </c>
      <c r="E85" t="str">
        <f t="shared" si="4"/>
        <v>laors@ortigas.com.ph</v>
      </c>
    </row>
    <row r="86" spans="1:5" x14ac:dyDescent="0.35">
      <c r="A86" t="s">
        <v>25</v>
      </c>
      <c r="B86" t="s">
        <v>154</v>
      </c>
      <c r="C86" t="s">
        <v>157</v>
      </c>
      <c r="D86" t="s">
        <v>173</v>
      </c>
      <c r="E86" t="str">
        <f t="shared" si="4"/>
        <v>gregoriorjo@ortigas.com.ph</v>
      </c>
    </row>
    <row r="87" spans="1:5" x14ac:dyDescent="0.35">
      <c r="A87" t="s">
        <v>25</v>
      </c>
      <c r="B87" t="s">
        <v>155</v>
      </c>
      <c r="C87" t="s">
        <v>160</v>
      </c>
      <c r="D87" t="s">
        <v>174</v>
      </c>
      <c r="E87" t="str">
        <f t="shared" si="4"/>
        <v>ayalajp@ortigas.com.ph</v>
      </c>
    </row>
    <row r="88" spans="1:5" x14ac:dyDescent="0.35">
      <c r="A88" t="s">
        <v>26</v>
      </c>
      <c r="B88" t="s">
        <v>175</v>
      </c>
      <c r="C88" t="s">
        <v>193</v>
      </c>
      <c r="D88" t="s">
        <v>199</v>
      </c>
      <c r="E88" t="str">
        <f>LOWER(TRIM(RIGHT(SUBSTITUTE(B88, " ", REPT(" ", 100)), 100)) &amp; LEFT(B88, 1) &amp; IF(LEN(B88)-LEN(SUBSTITUTE(B88, " ", ""))&gt;=2, MID(B88, FIND(" ", B88)+1, 1), "") &amp; IF(LEN(B88)-LEN(SUBSTITUTE(B88, " ", ""))&gt;=3, MID(B88, FIND(" ", B88, FIND(" ", B88)+1)+1, 1), "") &amp; "@ortigas.com.ph")</f>
        <v>delfinamr@ortigas.com.ph</v>
      </c>
    </row>
    <row r="89" spans="1:5" x14ac:dyDescent="0.35">
      <c r="A89" t="s">
        <v>26</v>
      </c>
      <c r="B89" t="s">
        <v>176</v>
      </c>
      <c r="C89" t="s">
        <v>194</v>
      </c>
      <c r="D89" t="s">
        <v>200</v>
      </c>
      <c r="E89" t="str">
        <f t="shared" ref="E89:E149" si="5">LOWER(TRIM(RIGHT(SUBSTITUTE(B89, " ", REPT(" ", 100)), 100)) &amp; LEFT(B89, 1) &amp; IF(LEN(B89)-LEN(SUBSTITUTE(B89, " ", ""))&gt;=2, MID(B89, FIND(" ", B89)+1, 1), "") &amp; IF(LEN(B89)-LEN(SUBSTITUTE(B89, " ", ""))&gt;=3, MID(B89, FIND(" ", B89, FIND(" ", B89)+1)+1, 1), "") &amp; "@ortigas.com.ph")</f>
        <v>anchetadp@ortigas.com.ph</v>
      </c>
    </row>
    <row r="90" spans="1:5" x14ac:dyDescent="0.35">
      <c r="A90" t="s">
        <v>26</v>
      </c>
      <c r="B90" t="s">
        <v>177</v>
      </c>
      <c r="C90" t="s">
        <v>194</v>
      </c>
      <c r="D90" t="s">
        <v>201</v>
      </c>
      <c r="E90" t="str">
        <f t="shared" si="5"/>
        <v>javierjac@ortigas.com.ph</v>
      </c>
    </row>
    <row r="91" spans="1:5" x14ac:dyDescent="0.35">
      <c r="A91" t="s">
        <v>26</v>
      </c>
      <c r="B91" t="s">
        <v>178</v>
      </c>
      <c r="C91" t="s">
        <v>195</v>
      </c>
      <c r="D91" t="s">
        <v>202</v>
      </c>
      <c r="E91" t="str">
        <f t="shared" si="5"/>
        <v>jorenko@ortigas.com.ph</v>
      </c>
    </row>
    <row r="92" spans="1:5" x14ac:dyDescent="0.35">
      <c r="A92" t="s">
        <v>26</v>
      </c>
      <c r="B92" t="s">
        <v>179</v>
      </c>
      <c r="C92" t="s">
        <v>196</v>
      </c>
      <c r="D92" t="s">
        <v>89</v>
      </c>
      <c r="E92" t="str">
        <f t="shared" si="5"/>
        <v>reyeslmc@ortigas.com.ph</v>
      </c>
    </row>
    <row r="93" spans="1:5" x14ac:dyDescent="0.35">
      <c r="A93" t="s">
        <v>26</v>
      </c>
      <c r="B93" t="s">
        <v>180</v>
      </c>
      <c r="C93" t="s">
        <v>197</v>
      </c>
      <c r="D93" t="s">
        <v>128</v>
      </c>
      <c r="E93" t="str">
        <f t="shared" si="5"/>
        <v>asima@ortigas.com.ph</v>
      </c>
    </row>
    <row r="94" spans="1:5" x14ac:dyDescent="0.35">
      <c r="A94" t="s">
        <v>26</v>
      </c>
      <c r="B94" t="s">
        <v>181</v>
      </c>
      <c r="C94" t="s">
        <v>197</v>
      </c>
      <c r="D94" t="s">
        <v>128</v>
      </c>
      <c r="E94" t="str">
        <f t="shared" si="5"/>
        <v>aclanrb@ortigas.com.ph</v>
      </c>
    </row>
    <row r="95" spans="1:5" x14ac:dyDescent="0.35">
      <c r="A95" t="s">
        <v>26</v>
      </c>
      <c r="B95" t="s">
        <v>182</v>
      </c>
      <c r="C95" t="s">
        <v>194</v>
      </c>
      <c r="D95" t="s">
        <v>203</v>
      </c>
      <c r="E95" t="str">
        <f t="shared" si="5"/>
        <v>barrenosja@ortigas.com.ph</v>
      </c>
    </row>
    <row r="96" spans="1:5" x14ac:dyDescent="0.35">
      <c r="A96" t="s">
        <v>26</v>
      </c>
      <c r="B96" t="s">
        <v>183</v>
      </c>
      <c r="C96" t="s">
        <v>198</v>
      </c>
      <c r="D96" t="s">
        <v>204</v>
      </c>
      <c r="E96" t="str">
        <f t="shared" si="5"/>
        <v>tosiozle@ortigas.com.ph</v>
      </c>
    </row>
    <row r="97" spans="1:5" x14ac:dyDescent="0.35">
      <c r="A97" t="s">
        <v>26</v>
      </c>
      <c r="B97" t="s">
        <v>184</v>
      </c>
      <c r="C97" t="s">
        <v>197</v>
      </c>
      <c r="D97" t="s">
        <v>128</v>
      </c>
      <c r="E97" t="str">
        <f t="shared" si="5"/>
        <v>policarpioae@ortigas.com.ph</v>
      </c>
    </row>
    <row r="98" spans="1:5" x14ac:dyDescent="0.35">
      <c r="A98" t="s">
        <v>26</v>
      </c>
      <c r="B98" t="s">
        <v>185</v>
      </c>
      <c r="C98" t="s">
        <v>197</v>
      </c>
      <c r="D98" t="s">
        <v>205</v>
      </c>
      <c r="E98" t="str">
        <f t="shared" si="5"/>
        <v>lasanasjh@ortigas.com.ph</v>
      </c>
    </row>
    <row r="99" spans="1:5" x14ac:dyDescent="0.35">
      <c r="A99" t="s">
        <v>26</v>
      </c>
      <c r="B99" t="s">
        <v>186</v>
      </c>
      <c r="C99" t="s">
        <v>194</v>
      </c>
      <c r="D99" t="s">
        <v>206</v>
      </c>
      <c r="E99" t="str">
        <f t="shared" si="5"/>
        <v>pacomaka@ortigas.com.ph</v>
      </c>
    </row>
    <row r="100" spans="1:5" x14ac:dyDescent="0.35">
      <c r="A100" t="s">
        <v>26</v>
      </c>
      <c r="B100" t="s">
        <v>187</v>
      </c>
      <c r="C100" t="s">
        <v>195</v>
      </c>
      <c r="D100" t="s">
        <v>207</v>
      </c>
      <c r="E100" t="str">
        <f t="shared" si="5"/>
        <v>eusebiokr@ortigas.com.ph</v>
      </c>
    </row>
    <row r="101" spans="1:5" x14ac:dyDescent="0.35">
      <c r="A101" t="s">
        <v>26</v>
      </c>
      <c r="B101" t="s">
        <v>188</v>
      </c>
      <c r="C101" t="s">
        <v>197</v>
      </c>
      <c r="D101" t="s">
        <v>208</v>
      </c>
      <c r="E101" t="str">
        <f t="shared" si="5"/>
        <v>pascualg@ortigas.com.ph</v>
      </c>
    </row>
    <row r="102" spans="1:5" x14ac:dyDescent="0.35">
      <c r="A102" t="s">
        <v>26</v>
      </c>
      <c r="B102" t="s">
        <v>189</v>
      </c>
      <c r="C102" t="s">
        <v>195</v>
      </c>
      <c r="D102" t="s">
        <v>209</v>
      </c>
      <c r="E102" t="str">
        <f t="shared" si="5"/>
        <v>castromct@ortigas.com.ph</v>
      </c>
    </row>
    <row r="103" spans="1:5" x14ac:dyDescent="0.35">
      <c r="A103" t="s">
        <v>26</v>
      </c>
      <c r="B103" t="s">
        <v>190</v>
      </c>
      <c r="C103" t="s">
        <v>198</v>
      </c>
      <c r="D103" t="s">
        <v>210</v>
      </c>
      <c r="E103" t="str">
        <f t="shared" si="5"/>
        <v>amantemjm@ortigas.com.ph</v>
      </c>
    </row>
    <row r="104" spans="1:5" x14ac:dyDescent="0.35">
      <c r="A104" t="s">
        <v>26</v>
      </c>
      <c r="B104" t="s">
        <v>191</v>
      </c>
      <c r="C104" t="s">
        <v>194</v>
      </c>
      <c r="D104" t="s">
        <v>211</v>
      </c>
      <c r="E104" t="str">
        <f t="shared" si="5"/>
        <v>cruznra@ortigas.com.ph</v>
      </c>
    </row>
    <row r="105" spans="1:5" x14ac:dyDescent="0.35">
      <c r="A105" t="s">
        <v>26</v>
      </c>
      <c r="B105" t="s">
        <v>192</v>
      </c>
      <c r="C105" t="s">
        <v>197</v>
      </c>
      <c r="D105" t="s">
        <v>130</v>
      </c>
      <c r="E105" t="str">
        <f t="shared" si="5"/>
        <v>tumandaowt@ortigas.com.ph</v>
      </c>
    </row>
    <row r="106" spans="1:5" x14ac:dyDescent="0.35">
      <c r="A106" t="s">
        <v>26</v>
      </c>
      <c r="B106" t="s">
        <v>213</v>
      </c>
      <c r="C106" t="s">
        <v>212</v>
      </c>
      <c r="D106" t="s">
        <v>233</v>
      </c>
      <c r="E106" t="str">
        <f t="shared" si="5"/>
        <v>ortonioarb@ortigas.com.ph</v>
      </c>
    </row>
    <row r="107" spans="1:5" x14ac:dyDescent="0.35">
      <c r="A107" t="s">
        <v>26</v>
      </c>
      <c r="B107" t="s">
        <v>214</v>
      </c>
      <c r="C107" t="s">
        <v>212</v>
      </c>
      <c r="D107" t="s">
        <v>233</v>
      </c>
      <c r="E107" t="str">
        <f t="shared" si="5"/>
        <v>lustreapc@ortigas.com.ph</v>
      </c>
    </row>
    <row r="108" spans="1:5" x14ac:dyDescent="0.35">
      <c r="A108" t="s">
        <v>26</v>
      </c>
      <c r="B108" t="s">
        <v>215</v>
      </c>
      <c r="C108" t="s">
        <v>212</v>
      </c>
      <c r="D108" t="s">
        <v>234</v>
      </c>
      <c r="E108" t="str">
        <f t="shared" si="5"/>
        <v>tarrobalamc@ortigas.com.ph</v>
      </c>
    </row>
    <row r="109" spans="1:5" x14ac:dyDescent="0.35">
      <c r="A109" t="s">
        <v>26</v>
      </c>
      <c r="B109" t="s">
        <v>216</v>
      </c>
      <c r="C109" t="s">
        <v>212</v>
      </c>
      <c r="D109" t="s">
        <v>234</v>
      </c>
      <c r="E109" t="str">
        <f t="shared" si="5"/>
        <v>dolletonars@ortigas.com.ph</v>
      </c>
    </row>
    <row r="110" spans="1:5" x14ac:dyDescent="0.35">
      <c r="A110" t="s">
        <v>26</v>
      </c>
      <c r="B110" t="s">
        <v>217</v>
      </c>
      <c r="C110" t="s">
        <v>212</v>
      </c>
      <c r="D110" t="s">
        <v>234</v>
      </c>
      <c r="E110" t="str">
        <f t="shared" si="5"/>
        <v>mallariarb@ortigas.com.ph</v>
      </c>
    </row>
    <row r="111" spans="1:5" x14ac:dyDescent="0.35">
      <c r="A111" t="s">
        <v>26</v>
      </c>
      <c r="B111" t="s">
        <v>218</v>
      </c>
      <c r="C111" t="s">
        <v>212</v>
      </c>
      <c r="D111" t="s">
        <v>235</v>
      </c>
      <c r="E111" t="str">
        <f t="shared" si="5"/>
        <v>pangiliganajm@ortigas.com.ph</v>
      </c>
    </row>
    <row r="112" spans="1:5" x14ac:dyDescent="0.35">
      <c r="A112" t="s">
        <v>26</v>
      </c>
      <c r="B112" t="s">
        <v>219</v>
      </c>
      <c r="C112" t="s">
        <v>212</v>
      </c>
      <c r="D112" t="s">
        <v>234</v>
      </c>
      <c r="E112" t="str">
        <f t="shared" si="5"/>
        <v>garciabg@ortigas.com.ph</v>
      </c>
    </row>
    <row r="113" spans="1:5" x14ac:dyDescent="0.35">
      <c r="A113" t="s">
        <v>26</v>
      </c>
      <c r="B113" t="s">
        <v>220</v>
      </c>
      <c r="C113" t="s">
        <v>212</v>
      </c>
      <c r="D113" t="s">
        <v>234</v>
      </c>
      <c r="E113" t="str">
        <f t="shared" si="5"/>
        <v>iletocbm@ortigas.com.ph</v>
      </c>
    </row>
    <row r="114" spans="1:5" x14ac:dyDescent="0.35">
      <c r="A114" t="s">
        <v>26</v>
      </c>
      <c r="B114" t="s">
        <v>221</v>
      </c>
      <c r="C114" t="s">
        <v>212</v>
      </c>
      <c r="D114" t="s">
        <v>236</v>
      </c>
      <c r="E114" t="str">
        <f t="shared" si="5"/>
        <v>hanga-andjf@ortigas.com.ph</v>
      </c>
    </row>
    <row r="115" spans="1:5" x14ac:dyDescent="0.35">
      <c r="A115" t="s">
        <v>26</v>
      </c>
      <c r="B115" t="s">
        <v>222</v>
      </c>
      <c r="C115" t="s">
        <v>212</v>
      </c>
      <c r="D115" t="s">
        <v>234</v>
      </c>
      <c r="E115" t="str">
        <f t="shared" si="5"/>
        <v>dimaculangandm@ortigas.com.ph</v>
      </c>
    </row>
    <row r="116" spans="1:5" x14ac:dyDescent="0.35">
      <c r="A116" t="s">
        <v>26</v>
      </c>
      <c r="B116" t="s">
        <v>223</v>
      </c>
      <c r="C116" t="s">
        <v>212</v>
      </c>
      <c r="D116" t="s">
        <v>234</v>
      </c>
      <c r="E116" t="str">
        <f t="shared" si="5"/>
        <v>goleshjs@ortigas.com.ph</v>
      </c>
    </row>
    <row r="117" spans="1:5" x14ac:dyDescent="0.35">
      <c r="A117" t="s">
        <v>26</v>
      </c>
      <c r="B117" t="s">
        <v>224</v>
      </c>
      <c r="C117" t="s">
        <v>212</v>
      </c>
      <c r="D117" t="s">
        <v>234</v>
      </c>
      <c r="E117" t="str">
        <f t="shared" si="5"/>
        <v>rosarioiah@ortigas.com.ph</v>
      </c>
    </row>
    <row r="118" spans="1:5" x14ac:dyDescent="0.35">
      <c r="A118" t="s">
        <v>26</v>
      </c>
      <c r="B118" t="s">
        <v>225</v>
      </c>
      <c r="C118" t="s">
        <v>212</v>
      </c>
      <c r="D118" t="s">
        <v>234</v>
      </c>
      <c r="E118" t="str">
        <f t="shared" si="5"/>
        <v>rodriguezkg@ortigas.com.ph</v>
      </c>
    </row>
    <row r="119" spans="1:5" x14ac:dyDescent="0.35">
      <c r="A119" t="s">
        <v>26</v>
      </c>
      <c r="B119" t="s">
        <v>226</v>
      </c>
      <c r="C119" t="s">
        <v>212</v>
      </c>
      <c r="D119" t="s">
        <v>234</v>
      </c>
      <c r="E119" t="str">
        <f t="shared" si="5"/>
        <v>elizonmjf@ortigas.com.ph</v>
      </c>
    </row>
    <row r="120" spans="1:5" x14ac:dyDescent="0.35">
      <c r="A120" t="s">
        <v>26</v>
      </c>
      <c r="B120" t="s">
        <v>227</v>
      </c>
      <c r="C120" t="s">
        <v>212</v>
      </c>
      <c r="D120" t="s">
        <v>234</v>
      </c>
      <c r="E120" t="str">
        <f t="shared" si="5"/>
        <v>davidm@ortigas.com.ph</v>
      </c>
    </row>
    <row r="121" spans="1:5" x14ac:dyDescent="0.35">
      <c r="A121" t="s">
        <v>26</v>
      </c>
      <c r="B121" t="s">
        <v>228</v>
      </c>
      <c r="C121" t="s">
        <v>212</v>
      </c>
      <c r="D121" t="s">
        <v>233</v>
      </c>
      <c r="E121" t="str">
        <f t="shared" si="5"/>
        <v>italianb@ortigas.com.ph</v>
      </c>
    </row>
    <row r="122" spans="1:5" x14ac:dyDescent="0.35">
      <c r="A122" t="s">
        <v>26</v>
      </c>
      <c r="B122" t="s">
        <v>229</v>
      </c>
      <c r="C122" t="s">
        <v>212</v>
      </c>
      <c r="D122" t="s">
        <v>237</v>
      </c>
      <c r="E122" t="str">
        <f t="shared" si="5"/>
        <v>espiriturm@ortigas.com.ph</v>
      </c>
    </row>
    <row r="123" spans="1:5" x14ac:dyDescent="0.35">
      <c r="A123" t="s">
        <v>26</v>
      </c>
      <c r="B123" t="s">
        <v>230</v>
      </c>
      <c r="C123" t="s">
        <v>212</v>
      </c>
      <c r="D123" t="s">
        <v>234</v>
      </c>
      <c r="E123" t="str">
        <f t="shared" si="5"/>
        <v>cruzrkb@ortigas.com.ph</v>
      </c>
    </row>
    <row r="124" spans="1:5" x14ac:dyDescent="0.35">
      <c r="A124" t="s">
        <v>26</v>
      </c>
      <c r="B124" t="s">
        <v>231</v>
      </c>
      <c r="C124" t="s">
        <v>212</v>
      </c>
      <c r="D124" t="s">
        <v>238</v>
      </c>
      <c r="E124" t="str">
        <f t="shared" si="5"/>
        <v>mendozaja@ortigas.com.ph</v>
      </c>
    </row>
    <row r="125" spans="1:5" x14ac:dyDescent="0.35">
      <c r="A125" t="s">
        <v>26</v>
      </c>
      <c r="B125" t="s">
        <v>232</v>
      </c>
      <c r="C125" t="s">
        <v>212</v>
      </c>
      <c r="D125" t="s">
        <v>239</v>
      </c>
      <c r="E125" t="str">
        <f t="shared" si="5"/>
        <v>concepcionlre@ortigas.com.ph</v>
      </c>
    </row>
    <row r="126" spans="1:5" x14ac:dyDescent="0.35">
      <c r="A126" t="s">
        <v>26</v>
      </c>
      <c r="B126" t="s">
        <v>240</v>
      </c>
      <c r="C126" t="s">
        <v>263</v>
      </c>
      <c r="D126" t="s">
        <v>269</v>
      </c>
      <c r="E126" t="str">
        <f t="shared" si="5"/>
        <v>tulozaav@ortigas.com.ph</v>
      </c>
    </row>
    <row r="127" spans="1:5" x14ac:dyDescent="0.35">
      <c r="A127" t="s">
        <v>26</v>
      </c>
      <c r="B127" t="s">
        <v>241</v>
      </c>
      <c r="C127" t="s">
        <v>264</v>
      </c>
      <c r="D127" t="s">
        <v>270</v>
      </c>
      <c r="E127" t="str">
        <f t="shared" si="5"/>
        <v>romoap@ortigas.com.ph</v>
      </c>
    </row>
    <row r="128" spans="1:5" x14ac:dyDescent="0.35">
      <c r="A128" t="s">
        <v>26</v>
      </c>
      <c r="B128" t="s">
        <v>242</v>
      </c>
      <c r="C128" t="s">
        <v>264</v>
      </c>
      <c r="D128" t="s">
        <v>271</v>
      </c>
      <c r="E128" t="str">
        <f t="shared" si="5"/>
        <v>satorreaj@ortigas.com.ph</v>
      </c>
    </row>
    <row r="129" spans="1:5" x14ac:dyDescent="0.35">
      <c r="A129" t="s">
        <v>26</v>
      </c>
      <c r="B129" t="s">
        <v>175</v>
      </c>
      <c r="C129" t="s">
        <v>193</v>
      </c>
      <c r="D129" t="s">
        <v>199</v>
      </c>
      <c r="E129" t="str">
        <f t="shared" si="5"/>
        <v>delfinamr@ortigas.com.ph</v>
      </c>
    </row>
    <row r="130" spans="1:5" x14ac:dyDescent="0.35">
      <c r="A130" t="s">
        <v>26</v>
      </c>
      <c r="B130" t="s">
        <v>243</v>
      </c>
      <c r="C130" t="s">
        <v>263</v>
      </c>
      <c r="D130" t="s">
        <v>272</v>
      </c>
      <c r="E130" t="str">
        <f t="shared" si="5"/>
        <v>oxiniocjm@ortigas.com.ph</v>
      </c>
    </row>
    <row r="131" spans="1:5" x14ac:dyDescent="0.35">
      <c r="A131" t="s">
        <v>26</v>
      </c>
      <c r="B131" t="s">
        <v>244</v>
      </c>
      <c r="C131" t="s">
        <v>265</v>
      </c>
      <c r="D131" t="s">
        <v>39</v>
      </c>
      <c r="E131" t="str">
        <f t="shared" si="5"/>
        <v>balverdeel@ortigas.com.ph</v>
      </c>
    </row>
    <row r="132" spans="1:5" x14ac:dyDescent="0.35">
      <c r="A132" t="s">
        <v>26</v>
      </c>
      <c r="B132" t="s">
        <v>245</v>
      </c>
      <c r="C132" t="s">
        <v>264</v>
      </c>
      <c r="D132" t="s">
        <v>273</v>
      </c>
      <c r="E132" t="str">
        <f t="shared" si="5"/>
        <v>rodriguezjf@ortigas.com.ph</v>
      </c>
    </row>
    <row r="133" spans="1:5" x14ac:dyDescent="0.35">
      <c r="A133" t="s">
        <v>26</v>
      </c>
      <c r="B133" t="s">
        <v>246</v>
      </c>
      <c r="C133" t="s">
        <v>263</v>
      </c>
      <c r="D133" t="s">
        <v>274</v>
      </c>
      <c r="E133" t="str">
        <f t="shared" si="5"/>
        <v>peñaflorjrs@ortigas.com.ph</v>
      </c>
    </row>
    <row r="134" spans="1:5" x14ac:dyDescent="0.35">
      <c r="A134" t="s">
        <v>26</v>
      </c>
      <c r="B134" t="s">
        <v>247</v>
      </c>
      <c r="C134" t="s">
        <v>263</v>
      </c>
      <c r="D134" t="s">
        <v>269</v>
      </c>
      <c r="E134" t="str">
        <f t="shared" si="5"/>
        <v>sardomajp@ortigas.com.ph</v>
      </c>
    </row>
    <row r="135" spans="1:5" x14ac:dyDescent="0.35">
      <c r="A135" t="s">
        <v>26</v>
      </c>
      <c r="B135" t="s">
        <v>248</v>
      </c>
      <c r="C135" t="s">
        <v>264</v>
      </c>
      <c r="D135" t="s">
        <v>273</v>
      </c>
      <c r="E135" t="str">
        <f t="shared" si="5"/>
        <v>davidjpg@ortigas.com.ph</v>
      </c>
    </row>
    <row r="136" spans="1:5" x14ac:dyDescent="0.35">
      <c r="A136" t="s">
        <v>26</v>
      </c>
      <c r="B136" t="s">
        <v>249</v>
      </c>
      <c r="C136" t="s">
        <v>264</v>
      </c>
      <c r="D136" t="s">
        <v>275</v>
      </c>
      <c r="E136" t="str">
        <f t="shared" si="5"/>
        <v>canojc@ortigas.com.ph</v>
      </c>
    </row>
    <row r="137" spans="1:5" x14ac:dyDescent="0.35">
      <c r="A137" t="s">
        <v>26</v>
      </c>
      <c r="B137" t="s">
        <v>250</v>
      </c>
      <c r="C137" t="s">
        <v>266</v>
      </c>
      <c r="D137" t="s">
        <v>276</v>
      </c>
      <c r="E137" t="str">
        <f t="shared" si="5"/>
        <v>fernandoj@ortigas.com.ph</v>
      </c>
    </row>
    <row r="138" spans="1:5" x14ac:dyDescent="0.35">
      <c r="A138" t="s">
        <v>26</v>
      </c>
      <c r="B138" t="s">
        <v>251</v>
      </c>
      <c r="C138" t="s">
        <v>263</v>
      </c>
      <c r="D138" t="s">
        <v>277</v>
      </c>
      <c r="E138" t="str">
        <f t="shared" si="5"/>
        <v>lilanganli@ortigas.com.ph</v>
      </c>
    </row>
    <row r="139" spans="1:5" x14ac:dyDescent="0.35">
      <c r="A139" t="s">
        <v>26</v>
      </c>
      <c r="B139" t="s">
        <v>252</v>
      </c>
      <c r="C139" t="s">
        <v>266</v>
      </c>
      <c r="D139" t="s">
        <v>278</v>
      </c>
      <c r="E139" t="str">
        <f t="shared" si="5"/>
        <v>gumayanmls@ortigas.com.ph</v>
      </c>
    </row>
    <row r="140" spans="1:5" x14ac:dyDescent="0.35">
      <c r="A140" t="s">
        <v>26</v>
      </c>
      <c r="B140" t="s">
        <v>253</v>
      </c>
      <c r="C140" t="s">
        <v>263</v>
      </c>
      <c r="D140" t="s">
        <v>279</v>
      </c>
      <c r="E140" t="str">
        <f t="shared" si="5"/>
        <v>eleazarmjm@ortigas.com.ph</v>
      </c>
    </row>
    <row r="141" spans="1:5" x14ac:dyDescent="0.35">
      <c r="A141" t="s">
        <v>26</v>
      </c>
      <c r="B141" t="s">
        <v>254</v>
      </c>
      <c r="C141" t="s">
        <v>267</v>
      </c>
      <c r="D141" t="s">
        <v>280</v>
      </c>
      <c r="E141" t="str">
        <f t="shared" si="5"/>
        <v>serquiñamkn@ortigas.com.ph</v>
      </c>
    </row>
    <row r="142" spans="1:5" x14ac:dyDescent="0.35">
      <c r="A142" t="s">
        <v>26</v>
      </c>
      <c r="B142" t="s">
        <v>255</v>
      </c>
      <c r="C142" t="s">
        <v>266</v>
      </c>
      <c r="D142" t="s">
        <v>281</v>
      </c>
      <c r="E142" t="str">
        <f t="shared" si="5"/>
        <v>arroyomek@ortigas.com.ph</v>
      </c>
    </row>
    <row r="143" spans="1:5" x14ac:dyDescent="0.35">
      <c r="A143" t="s">
        <v>26</v>
      </c>
      <c r="B143" t="s">
        <v>256</v>
      </c>
      <c r="C143" t="s">
        <v>264</v>
      </c>
      <c r="D143" t="s">
        <v>282</v>
      </c>
      <c r="E143" t="str">
        <f t="shared" si="5"/>
        <v>aguilarpac@ortigas.com.ph</v>
      </c>
    </row>
    <row r="144" spans="1:5" x14ac:dyDescent="0.35">
      <c r="A144" t="s">
        <v>26</v>
      </c>
      <c r="B144" t="s">
        <v>257</v>
      </c>
      <c r="C144" t="s">
        <v>263</v>
      </c>
      <c r="D144" t="s">
        <v>279</v>
      </c>
      <c r="E144" t="str">
        <f t="shared" si="5"/>
        <v>labongpsj@ortigas.com.ph</v>
      </c>
    </row>
    <row r="145" spans="1:5" x14ac:dyDescent="0.35">
      <c r="A145" t="s">
        <v>26</v>
      </c>
      <c r="B145" t="s">
        <v>258</v>
      </c>
      <c r="C145" t="s">
        <v>266</v>
      </c>
      <c r="D145" t="s">
        <v>283</v>
      </c>
      <c r="E145" t="str">
        <f t="shared" si="5"/>
        <v>octavorg@ortigas.com.ph</v>
      </c>
    </row>
    <row r="146" spans="1:5" x14ac:dyDescent="0.35">
      <c r="A146" t="s">
        <v>26</v>
      </c>
      <c r="B146" t="s">
        <v>259</v>
      </c>
      <c r="C146" t="s">
        <v>263</v>
      </c>
      <c r="D146" t="s">
        <v>272</v>
      </c>
      <c r="E146" t="str">
        <f t="shared" si="5"/>
        <v>pantanillasjf@ortigas.com.ph</v>
      </c>
    </row>
    <row r="147" spans="1:5" x14ac:dyDescent="0.35">
      <c r="A147" t="s">
        <v>26</v>
      </c>
      <c r="B147" t="s">
        <v>260</v>
      </c>
      <c r="C147" t="s">
        <v>267</v>
      </c>
      <c r="D147" t="s">
        <v>284</v>
      </c>
      <c r="E147" t="str">
        <f t="shared" si="5"/>
        <v>bucasasto@ortigas.com.ph</v>
      </c>
    </row>
    <row r="148" spans="1:5" x14ac:dyDescent="0.35">
      <c r="A148" t="s">
        <v>26</v>
      </c>
      <c r="B148" t="s">
        <v>261</v>
      </c>
      <c r="C148" t="s">
        <v>265</v>
      </c>
      <c r="D148" t="s">
        <v>285</v>
      </c>
      <c r="E148" t="str">
        <f t="shared" si="5"/>
        <v>belardojj@ortigas.com.ph</v>
      </c>
    </row>
    <row r="149" spans="1:5" x14ac:dyDescent="0.35">
      <c r="A149" t="s">
        <v>26</v>
      </c>
      <c r="B149" t="s">
        <v>262</v>
      </c>
      <c r="C149" t="s">
        <v>268</v>
      </c>
      <c r="D149" t="s">
        <v>286</v>
      </c>
      <c r="E149" t="str">
        <f t="shared" si="5"/>
        <v>garciamaj@ortigas.com.ph</v>
      </c>
    </row>
    <row r="150" spans="1:5" x14ac:dyDescent="0.35">
      <c r="A150" t="s">
        <v>27</v>
      </c>
    </row>
  </sheetData>
  <autoFilter ref="A2:E150" xr:uid="{DB2E4B71-DB9B-4C64-87A8-56216E6DDF7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FF89-6C63-4737-9C87-9C585C55E8CC}">
  <dimension ref="A2:E150"/>
  <sheetViews>
    <sheetView zoomScale="70" zoomScaleNormal="70" workbookViewId="0">
      <pane ySplit="2" topLeftCell="A128" activePane="bottomLeft" state="frozen"/>
      <selection pane="bottomLeft" activeCell="B150" sqref="B150"/>
    </sheetView>
  </sheetViews>
  <sheetFormatPr defaultRowHeight="14.5" x14ac:dyDescent="0.35"/>
  <cols>
    <col min="1" max="1" width="15" bestFit="1" customWidth="1"/>
    <col min="2" max="2" width="24.54296875" bestFit="1" customWidth="1"/>
    <col min="3" max="3" width="38.36328125" bestFit="1" customWidth="1"/>
    <col min="4" max="4" width="51.08984375" bestFit="1" customWidth="1"/>
    <col min="5" max="5" width="29.54296875" bestFit="1" customWidth="1"/>
  </cols>
  <sheetData>
    <row r="2" spans="1:5" s="1" customFormat="1" x14ac:dyDescent="0.35">
      <c r="A2" s="1" t="s">
        <v>30</v>
      </c>
      <c r="B2" s="1" t="s">
        <v>0</v>
      </c>
      <c r="C2" s="1" t="s">
        <v>2</v>
      </c>
      <c r="D2" s="1" t="s">
        <v>14</v>
      </c>
      <c r="E2" s="1" t="s">
        <v>1</v>
      </c>
    </row>
    <row r="3" spans="1:5" x14ac:dyDescent="0.35">
      <c r="A3" t="s">
        <v>3</v>
      </c>
      <c r="B3" t="s">
        <v>4</v>
      </c>
      <c r="C3" t="s">
        <v>15</v>
      </c>
      <c r="D3" t="s">
        <v>16</v>
      </c>
      <c r="E3" t="str">
        <f>LOWER(TRIM(RIGHT(SUBSTITUTE(B3, " ", REPT(" ", 100)), 100)) &amp; LEFT(B3, 1) &amp; IF(LEN(B3)-LEN(SUBSTITUTE(B3, " ", ""))&gt;=2, MID(B3, FIND(" ", B3)+1, 1), "") &amp; IF(LEN(B3)-LEN(SUBSTITUTE(B3, " ", ""))&gt;=3, MID(B3, FIND(" ", B3, FIND(" ", B3)+1)+1, 1), "") &amp; "@ortigas.com.ph")</f>
        <v>seldajp@ortigas.com.ph</v>
      </c>
    </row>
    <row r="4" spans="1:5" x14ac:dyDescent="0.35">
      <c r="A4" t="s">
        <v>3</v>
      </c>
      <c r="B4" t="s">
        <v>5</v>
      </c>
      <c r="C4" t="s">
        <v>15</v>
      </c>
      <c r="D4" t="s">
        <v>16</v>
      </c>
      <c r="E4" t="str">
        <f t="shared" ref="E4:E20" si="0">LOWER(TRIM(RIGHT(SUBSTITUTE(B4, " ", REPT(" ", 100)), 100)) &amp; LEFT(B4, 1) &amp; IF(LEN(B4)-LEN(SUBSTITUTE(B4, " ", ""))&gt;=2, MID(B4, FIND(" ", B4)+1, 1), "") &amp; IF(LEN(B4)-LEN(SUBSTITUTE(B4, " ", ""))&gt;=3, MID(B4, FIND(" ", B4, FIND(" ", B4)+1)+1, 1), "") &amp; "@ortigas.com.ph")</f>
        <v>alsolamrn@ortigas.com.ph</v>
      </c>
    </row>
    <row r="5" spans="1:5" x14ac:dyDescent="0.35">
      <c r="A5" t="s">
        <v>3</v>
      </c>
      <c r="B5" t="s">
        <v>6</v>
      </c>
      <c r="C5" t="s">
        <v>15</v>
      </c>
      <c r="D5" t="s">
        <v>17</v>
      </c>
      <c r="E5" t="str">
        <f t="shared" si="0"/>
        <v>corpinag@ortigas.com.ph</v>
      </c>
    </row>
    <row r="6" spans="1:5" x14ac:dyDescent="0.35">
      <c r="A6" t="s">
        <v>3</v>
      </c>
      <c r="B6" t="s">
        <v>7</v>
      </c>
      <c r="C6" t="s">
        <v>15</v>
      </c>
      <c r="D6" t="s">
        <v>18</v>
      </c>
      <c r="E6" t="str">
        <f t="shared" si="0"/>
        <v>villaminca@ortigas.com.ph</v>
      </c>
    </row>
    <row r="7" spans="1:5" x14ac:dyDescent="0.35">
      <c r="A7" t="s">
        <v>3</v>
      </c>
      <c r="B7" t="s">
        <v>8</v>
      </c>
      <c r="C7" t="s">
        <v>15</v>
      </c>
      <c r="D7" t="s">
        <v>19</v>
      </c>
      <c r="E7" t="str">
        <f t="shared" si="0"/>
        <v>reajpm@ortigas.com.ph</v>
      </c>
    </row>
    <row r="8" spans="1:5" x14ac:dyDescent="0.35">
      <c r="A8" t="s">
        <v>3</v>
      </c>
      <c r="B8" t="s">
        <v>9</v>
      </c>
      <c r="C8" t="s">
        <v>15</v>
      </c>
      <c r="D8" t="s">
        <v>19</v>
      </c>
      <c r="E8" t="str">
        <f t="shared" si="0"/>
        <v>solemnejce@ortigas.com.ph</v>
      </c>
    </row>
    <row r="9" spans="1:5" x14ac:dyDescent="0.35">
      <c r="A9" t="s">
        <v>3</v>
      </c>
      <c r="B9" t="s">
        <v>10</v>
      </c>
      <c r="C9" t="s">
        <v>15</v>
      </c>
      <c r="D9" t="s">
        <v>20</v>
      </c>
      <c r="E9" t="str">
        <f t="shared" si="0"/>
        <v>gotosmcr@ortigas.com.ph</v>
      </c>
    </row>
    <row r="10" spans="1:5" x14ac:dyDescent="0.35">
      <c r="A10" t="s">
        <v>3</v>
      </c>
      <c r="B10" t="s">
        <v>11</v>
      </c>
      <c r="C10" t="s">
        <v>15</v>
      </c>
      <c r="D10" t="s">
        <v>21</v>
      </c>
      <c r="E10" t="str">
        <f t="shared" si="0"/>
        <v>acbangrt@ortigas.com.ph</v>
      </c>
    </row>
    <row r="11" spans="1:5" x14ac:dyDescent="0.35">
      <c r="A11" t="s">
        <v>3</v>
      </c>
      <c r="B11" t="s">
        <v>12</v>
      </c>
      <c r="C11" t="s">
        <v>15</v>
      </c>
      <c r="D11" t="s">
        <v>17</v>
      </c>
      <c r="E11" t="str">
        <f t="shared" si="0"/>
        <v>quijanorhc@ortigas.com.ph</v>
      </c>
    </row>
    <row r="12" spans="1:5" x14ac:dyDescent="0.35">
      <c r="A12" t="s">
        <v>3</v>
      </c>
      <c r="B12" t="s">
        <v>13</v>
      </c>
      <c r="C12" t="s">
        <v>15</v>
      </c>
      <c r="D12" t="s">
        <v>22</v>
      </c>
      <c r="E12" t="str">
        <f t="shared" si="0"/>
        <v>quiatrb@ortigas.com.ph</v>
      </c>
    </row>
    <row r="13" spans="1:5" x14ac:dyDescent="0.35">
      <c r="A13" t="s">
        <v>34</v>
      </c>
      <c r="B13" t="s">
        <v>35</v>
      </c>
      <c r="C13" t="s">
        <v>37</v>
      </c>
      <c r="D13" t="s">
        <v>38</v>
      </c>
      <c r="E13" t="str">
        <f t="shared" si="0"/>
        <v>sandejasbna@ortigas.com.ph</v>
      </c>
    </row>
    <row r="14" spans="1:5" x14ac:dyDescent="0.35">
      <c r="A14" t="s">
        <v>34</v>
      </c>
      <c r="B14" t="s">
        <v>36</v>
      </c>
      <c r="C14" t="s">
        <v>37</v>
      </c>
      <c r="D14" t="s">
        <v>39</v>
      </c>
      <c r="E14" t="str">
        <f t="shared" si="0"/>
        <v>tenederocc@ortigas.com.ph</v>
      </c>
    </row>
    <row r="15" spans="1:5" x14ac:dyDescent="0.35">
      <c r="A15" t="s">
        <v>33</v>
      </c>
      <c r="B15" t="s">
        <v>41</v>
      </c>
      <c r="C15" t="s">
        <v>40</v>
      </c>
      <c r="D15" t="s">
        <v>47</v>
      </c>
      <c r="E15" t="str">
        <f t="shared" si="0"/>
        <v>jimenezaer@ortigas.com.ph</v>
      </c>
    </row>
    <row r="16" spans="1:5" x14ac:dyDescent="0.35">
      <c r="A16" t="s">
        <v>33</v>
      </c>
      <c r="B16" t="s">
        <v>42</v>
      </c>
      <c r="C16" t="s">
        <v>40</v>
      </c>
      <c r="D16" t="s">
        <v>48</v>
      </c>
      <c r="E16" t="str">
        <f t="shared" si="0"/>
        <v>abendaniod@ortigas.com.ph</v>
      </c>
    </row>
    <row r="17" spans="1:5" x14ac:dyDescent="0.35">
      <c r="A17" t="s">
        <v>33</v>
      </c>
      <c r="B17" t="s">
        <v>43</v>
      </c>
      <c r="C17" t="s">
        <v>40</v>
      </c>
      <c r="D17" t="s">
        <v>47</v>
      </c>
      <c r="E17" t="str">
        <f t="shared" si="0"/>
        <v>caparasmki@ortigas.com.ph</v>
      </c>
    </row>
    <row r="18" spans="1:5" x14ac:dyDescent="0.35">
      <c r="A18" t="s">
        <v>33</v>
      </c>
      <c r="B18" t="s">
        <v>44</v>
      </c>
      <c r="C18" t="s">
        <v>40</v>
      </c>
      <c r="D18" t="s">
        <v>49</v>
      </c>
      <c r="E18" t="str">
        <f t="shared" si="0"/>
        <v>monismg@ortigas.com.ph</v>
      </c>
    </row>
    <row r="19" spans="1:5" x14ac:dyDescent="0.35">
      <c r="A19" t="s">
        <v>33</v>
      </c>
      <c r="B19" t="s">
        <v>45</v>
      </c>
      <c r="C19" t="s">
        <v>40</v>
      </c>
      <c r="D19" t="s">
        <v>50</v>
      </c>
      <c r="E19" t="str">
        <f t="shared" si="0"/>
        <v>reyesns@ortigas.com.ph</v>
      </c>
    </row>
    <row r="20" spans="1:5" x14ac:dyDescent="0.35">
      <c r="A20" t="s">
        <v>33</v>
      </c>
      <c r="B20" t="s">
        <v>46</v>
      </c>
      <c r="C20" t="s">
        <v>40</v>
      </c>
      <c r="D20" t="s">
        <v>51</v>
      </c>
      <c r="E20" t="str">
        <f t="shared" si="0"/>
        <v>villanuevaru@ortigas.com.ph</v>
      </c>
    </row>
    <row r="21" spans="1:5" x14ac:dyDescent="0.35">
      <c r="A21" t="s">
        <v>31</v>
      </c>
      <c r="B21" t="s">
        <v>52</v>
      </c>
      <c r="C21" t="s">
        <v>65</v>
      </c>
      <c r="D21" t="s">
        <v>66</v>
      </c>
      <c r="E21" t="str">
        <f>LOWER(TRIM(RIGHT(SUBSTITUTE(B21, " ", REPT(" ", 100)), 100)) &amp; LEFT(B21, 1) &amp; IF(LEN(B21)-LEN(SUBSTITUTE(B21, " ", ""))&gt;=2, MID(B21, FIND(" ", B21)+1, 1), "") &amp; IF(LEN(B21)-LEN(SUBSTITUTE(B21, " ", ""))&gt;=3, MID(B21, FIND(" ", B21, FIND(" ", B21)+1)+1, 1), "") &amp; "@ortigas.com.ph")</f>
        <v>natividadaja@ortigas.com.ph</v>
      </c>
    </row>
    <row r="22" spans="1:5" x14ac:dyDescent="0.35">
      <c r="A22" t="s">
        <v>31</v>
      </c>
      <c r="B22" t="s">
        <v>53</v>
      </c>
      <c r="C22" t="s">
        <v>65</v>
      </c>
      <c r="D22" t="s">
        <v>66</v>
      </c>
      <c r="E22" t="str">
        <f t="shared" ref="E22:E43" si="1">LOWER(TRIM(RIGHT(SUBSTITUTE(B22, " ", REPT(" ", 100)), 100)) &amp; LEFT(B22, 1) &amp; IF(LEN(B22)-LEN(SUBSTITUTE(B22, " ", ""))&gt;=2, MID(B22, FIND(" ", B22)+1, 1), "") &amp; IF(LEN(B22)-LEN(SUBSTITUTE(B22, " ", ""))&gt;=3, MID(B22, FIND(" ", B22, FIND(" ", B22)+1)+1, 1), "") &amp; "@ortigas.com.ph")</f>
        <v>regloscab@ortigas.com.ph</v>
      </c>
    </row>
    <row r="23" spans="1:5" x14ac:dyDescent="0.35">
      <c r="A23" t="s">
        <v>31</v>
      </c>
      <c r="B23" t="s">
        <v>54</v>
      </c>
      <c r="C23" t="s">
        <v>65</v>
      </c>
      <c r="D23" t="s">
        <v>67</v>
      </c>
      <c r="E23" t="str">
        <f t="shared" si="1"/>
        <v>averilladdc@ortigas.com.ph</v>
      </c>
    </row>
    <row r="24" spans="1:5" x14ac:dyDescent="0.35">
      <c r="A24" t="s">
        <v>31</v>
      </c>
      <c r="B24" t="s">
        <v>55</v>
      </c>
      <c r="C24" t="s">
        <v>65</v>
      </c>
      <c r="D24" t="s">
        <v>68</v>
      </c>
      <c r="E24" t="str">
        <f t="shared" si="1"/>
        <v>villanuevadri@ortigas.com.ph</v>
      </c>
    </row>
    <row r="25" spans="1:5" x14ac:dyDescent="0.35">
      <c r="A25" t="s">
        <v>31</v>
      </c>
      <c r="B25" t="s">
        <v>56</v>
      </c>
      <c r="C25" t="s">
        <v>65</v>
      </c>
      <c r="D25" t="s">
        <v>67</v>
      </c>
      <c r="E25" t="str">
        <f t="shared" si="1"/>
        <v>patiniojha@ortigas.com.ph</v>
      </c>
    </row>
    <row r="26" spans="1:5" x14ac:dyDescent="0.35">
      <c r="A26" t="s">
        <v>31</v>
      </c>
      <c r="B26" t="s">
        <v>57</v>
      </c>
      <c r="C26" t="s">
        <v>65</v>
      </c>
      <c r="D26" t="s">
        <v>66</v>
      </c>
      <c r="E26" t="str">
        <f t="shared" si="1"/>
        <v>galangjc@ortigas.com.ph</v>
      </c>
    </row>
    <row r="27" spans="1:5" x14ac:dyDescent="0.35">
      <c r="A27" t="s">
        <v>31</v>
      </c>
      <c r="B27" t="s">
        <v>58</v>
      </c>
      <c r="C27" t="s">
        <v>65</v>
      </c>
      <c r="D27" t="s">
        <v>69</v>
      </c>
      <c r="E27" t="str">
        <f t="shared" si="1"/>
        <v>gequillanajps@ortigas.com.ph</v>
      </c>
    </row>
    <row r="28" spans="1:5" x14ac:dyDescent="0.35">
      <c r="A28" t="s">
        <v>31</v>
      </c>
      <c r="B28" t="s">
        <v>59</v>
      </c>
      <c r="C28" t="s">
        <v>65</v>
      </c>
      <c r="D28" t="s">
        <v>70</v>
      </c>
      <c r="E28" t="str">
        <f t="shared" si="1"/>
        <v>siosonjga@ortigas.com.ph</v>
      </c>
    </row>
    <row r="29" spans="1:5" x14ac:dyDescent="0.35">
      <c r="A29" t="s">
        <v>31</v>
      </c>
      <c r="B29" t="s">
        <v>60</v>
      </c>
      <c r="C29" t="s">
        <v>65</v>
      </c>
      <c r="D29" t="s">
        <v>71</v>
      </c>
      <c r="E29" t="str">
        <f t="shared" si="1"/>
        <v>valentonmdl@ortigas.com.ph</v>
      </c>
    </row>
    <row r="30" spans="1:5" x14ac:dyDescent="0.35">
      <c r="A30" t="s">
        <v>31</v>
      </c>
      <c r="B30" t="s">
        <v>61</v>
      </c>
      <c r="C30" t="s">
        <v>65</v>
      </c>
      <c r="D30" t="s">
        <v>72</v>
      </c>
      <c r="E30" t="str">
        <f t="shared" si="1"/>
        <v>ferrerasnl@ortigas.com.ph</v>
      </c>
    </row>
    <row r="31" spans="1:5" x14ac:dyDescent="0.35">
      <c r="A31" t="s">
        <v>31</v>
      </c>
      <c r="B31" t="s">
        <v>62</v>
      </c>
      <c r="C31" t="s">
        <v>65</v>
      </c>
      <c r="D31" t="s">
        <v>67</v>
      </c>
      <c r="E31" t="str">
        <f t="shared" si="1"/>
        <v>javenpab@ortigas.com.ph</v>
      </c>
    </row>
    <row r="32" spans="1:5" x14ac:dyDescent="0.35">
      <c r="A32" t="s">
        <v>31</v>
      </c>
      <c r="B32" t="s">
        <v>63</v>
      </c>
      <c r="C32" t="s">
        <v>65</v>
      </c>
      <c r="D32" t="s">
        <v>73</v>
      </c>
      <c r="E32" t="str">
        <f t="shared" si="1"/>
        <v>marianoejm@ortigas.com.ph</v>
      </c>
    </row>
    <row r="33" spans="1:5" x14ac:dyDescent="0.35">
      <c r="A33" t="s">
        <v>31</v>
      </c>
      <c r="B33" t="s">
        <v>64</v>
      </c>
      <c r="C33" t="s">
        <v>65</v>
      </c>
      <c r="D33" t="s">
        <v>74</v>
      </c>
      <c r="E33" t="str">
        <f t="shared" si="1"/>
        <v>domingogrh@ortigas.com.ph</v>
      </c>
    </row>
    <row r="34" spans="1:5" x14ac:dyDescent="0.35">
      <c r="A34" t="s">
        <v>31</v>
      </c>
      <c r="B34" t="s">
        <v>76</v>
      </c>
      <c r="C34" t="s">
        <v>75</v>
      </c>
      <c r="D34" t="s">
        <v>86</v>
      </c>
      <c r="E34" t="str">
        <f t="shared" si="1"/>
        <v>agcaoilias@ortigas.com.ph</v>
      </c>
    </row>
    <row r="35" spans="1:5" x14ac:dyDescent="0.35">
      <c r="A35" t="s">
        <v>31</v>
      </c>
      <c r="B35" t="s">
        <v>77</v>
      </c>
      <c r="C35" t="s">
        <v>75</v>
      </c>
      <c r="D35" t="s">
        <v>87</v>
      </c>
      <c r="E35" t="str">
        <f t="shared" si="1"/>
        <v>laxamanaca@ortigas.com.ph</v>
      </c>
    </row>
    <row r="36" spans="1:5" x14ac:dyDescent="0.35">
      <c r="A36" t="s">
        <v>31</v>
      </c>
      <c r="B36" t="s">
        <v>78</v>
      </c>
      <c r="C36" t="s">
        <v>75</v>
      </c>
      <c r="D36" t="s">
        <v>88</v>
      </c>
      <c r="E36" t="str">
        <f t="shared" si="1"/>
        <v>pebresja@ortigas.com.ph</v>
      </c>
    </row>
    <row r="37" spans="1:5" x14ac:dyDescent="0.35">
      <c r="A37" t="s">
        <v>31</v>
      </c>
      <c r="B37" t="s">
        <v>79</v>
      </c>
      <c r="C37" t="s">
        <v>75</v>
      </c>
      <c r="D37" t="s">
        <v>89</v>
      </c>
      <c r="E37" t="str">
        <f t="shared" si="1"/>
        <v>daymieljma@ortigas.com.ph</v>
      </c>
    </row>
    <row r="38" spans="1:5" x14ac:dyDescent="0.35">
      <c r="A38" t="s">
        <v>31</v>
      </c>
      <c r="B38" t="s">
        <v>80</v>
      </c>
      <c r="C38" t="s">
        <v>75</v>
      </c>
      <c r="D38" t="s">
        <v>87</v>
      </c>
      <c r="E38" t="str">
        <f t="shared" si="1"/>
        <v>campongsi@ortigas.com.ph</v>
      </c>
    </row>
    <row r="39" spans="1:5" x14ac:dyDescent="0.35">
      <c r="A39" t="s">
        <v>31</v>
      </c>
      <c r="B39" t="s">
        <v>81</v>
      </c>
      <c r="C39" t="s">
        <v>75</v>
      </c>
      <c r="D39" t="s">
        <v>90</v>
      </c>
      <c r="E39" t="str">
        <f t="shared" si="1"/>
        <v>alcantarawe@ortigas.com.ph</v>
      </c>
    </row>
    <row r="40" spans="1:5" x14ac:dyDescent="0.35">
      <c r="A40" t="s">
        <v>31</v>
      </c>
      <c r="B40" t="s">
        <v>82</v>
      </c>
      <c r="C40" t="s">
        <v>75</v>
      </c>
      <c r="D40" t="s">
        <v>91</v>
      </c>
      <c r="E40" t="str">
        <f t="shared" si="1"/>
        <v>mataab@ortigas.com.ph</v>
      </c>
    </row>
    <row r="41" spans="1:5" x14ac:dyDescent="0.35">
      <c r="A41" t="s">
        <v>31</v>
      </c>
      <c r="B41" t="s">
        <v>83</v>
      </c>
      <c r="C41" t="s">
        <v>75</v>
      </c>
      <c r="D41" t="s">
        <v>92</v>
      </c>
      <c r="E41" t="str">
        <f t="shared" si="1"/>
        <v>catiisln@ortigas.com.ph</v>
      </c>
    </row>
    <row r="42" spans="1:5" x14ac:dyDescent="0.35">
      <c r="A42" t="s">
        <v>31</v>
      </c>
      <c r="B42" t="s">
        <v>84</v>
      </c>
      <c r="C42" t="s">
        <v>75</v>
      </c>
      <c r="D42" t="s">
        <v>91</v>
      </c>
      <c r="E42" t="str">
        <f t="shared" si="1"/>
        <v>ferandomcv@ortigas.com.ph</v>
      </c>
    </row>
    <row r="43" spans="1:5" x14ac:dyDescent="0.35">
      <c r="A43" t="s">
        <v>31</v>
      </c>
      <c r="B43" t="s">
        <v>85</v>
      </c>
      <c r="C43" t="s">
        <v>75</v>
      </c>
      <c r="D43" t="s">
        <v>93</v>
      </c>
      <c r="E43" t="str">
        <f t="shared" si="1"/>
        <v>bicerarh@ortigas.com.ph</v>
      </c>
    </row>
    <row r="44" spans="1:5" x14ac:dyDescent="0.35">
      <c r="A44" t="s">
        <v>32</v>
      </c>
      <c r="B44" t="s">
        <v>94</v>
      </c>
      <c r="C44" t="s">
        <v>65</v>
      </c>
      <c r="D44" t="s">
        <v>71</v>
      </c>
      <c r="E44" t="str">
        <f>LOWER(TRIM(RIGHT(SUBSTITUTE(B44, " ", REPT(" ", 100)), 100)) &amp; LEFT(B44, 1) &amp; IF(LEN(B44)-LEN(SUBSTITUTE(B44, " ", ""))&gt;=2, MID(B44, FIND(" ", B44)+1, 1), "") &amp; IF(LEN(B44)-LEN(SUBSTITUTE(B44, " ", ""))&gt;=3, MID(B44, FIND(" ", B44, FIND(" ", B44)+1)+1, 1), "") &amp; "@ortigas.com.ph")</f>
        <v>penalesapy@ortigas.com.ph</v>
      </c>
    </row>
    <row r="45" spans="1:5" x14ac:dyDescent="0.35">
      <c r="A45" t="s">
        <v>32</v>
      </c>
      <c r="B45" t="s">
        <v>95</v>
      </c>
      <c r="C45" t="s">
        <v>65</v>
      </c>
      <c r="D45" t="s">
        <v>67</v>
      </c>
      <c r="E45" t="str">
        <f t="shared" ref="E45:E57" si="2">LOWER(TRIM(RIGHT(SUBSTITUTE(B45, " ", REPT(" ", 100)), 100)) &amp; LEFT(B45, 1) &amp; IF(LEN(B45)-LEN(SUBSTITUTE(B45, " ", ""))&gt;=2, MID(B45, FIND(" ", B45)+1, 1), "") &amp; IF(LEN(B45)-LEN(SUBSTITUTE(B45, " ", ""))&gt;=3, MID(B45, FIND(" ", B45, FIND(" ", B45)+1)+1, 1), "") &amp; "@ortigas.com.ph")</f>
        <v>ocbafa@ortigas.com.ph</v>
      </c>
    </row>
    <row r="46" spans="1:5" x14ac:dyDescent="0.35">
      <c r="A46" t="s">
        <v>32</v>
      </c>
      <c r="B46" t="s">
        <v>96</v>
      </c>
      <c r="C46" t="s">
        <v>65</v>
      </c>
      <c r="D46" t="s">
        <v>72</v>
      </c>
      <c r="E46" t="str">
        <f t="shared" si="2"/>
        <v>ringorjm@ortigas.com.ph</v>
      </c>
    </row>
    <row r="47" spans="1:5" x14ac:dyDescent="0.35">
      <c r="A47" t="s">
        <v>32</v>
      </c>
      <c r="B47" t="s">
        <v>97</v>
      </c>
      <c r="C47" t="s">
        <v>65</v>
      </c>
      <c r="D47" t="s">
        <v>108</v>
      </c>
      <c r="E47" t="str">
        <f t="shared" si="2"/>
        <v>macaranasjvr@ortigas.com.ph</v>
      </c>
    </row>
    <row r="48" spans="1:5" x14ac:dyDescent="0.35">
      <c r="A48" t="s">
        <v>32</v>
      </c>
      <c r="B48" t="s">
        <v>98</v>
      </c>
      <c r="C48" t="s">
        <v>65</v>
      </c>
      <c r="D48" t="s">
        <v>72</v>
      </c>
      <c r="E48" t="str">
        <f t="shared" si="2"/>
        <v>simonjmm@ortigas.com.ph</v>
      </c>
    </row>
    <row r="49" spans="1:5" x14ac:dyDescent="0.35">
      <c r="A49" t="s">
        <v>32</v>
      </c>
      <c r="B49" t="s">
        <v>99</v>
      </c>
      <c r="C49" t="s">
        <v>75</v>
      </c>
      <c r="D49" t="s">
        <v>109</v>
      </c>
      <c r="E49" t="str">
        <f t="shared" si="2"/>
        <v>alicosjaa@ortigas.com.ph</v>
      </c>
    </row>
    <row r="50" spans="1:5" x14ac:dyDescent="0.35">
      <c r="A50" t="s">
        <v>32</v>
      </c>
      <c r="B50" t="s">
        <v>100</v>
      </c>
      <c r="C50" t="s">
        <v>75</v>
      </c>
      <c r="D50" t="s">
        <v>109</v>
      </c>
      <c r="E50" t="str">
        <f t="shared" si="2"/>
        <v>enriquezkma@ortigas.com.ph</v>
      </c>
    </row>
    <row r="51" spans="1:5" x14ac:dyDescent="0.35">
      <c r="A51" t="s">
        <v>32</v>
      </c>
      <c r="B51" t="s">
        <v>101</v>
      </c>
      <c r="C51" t="s">
        <v>65</v>
      </c>
      <c r="D51" t="s">
        <v>110</v>
      </c>
      <c r="E51" t="str">
        <f t="shared" si="2"/>
        <v>sevillamar@ortigas.com.ph</v>
      </c>
    </row>
    <row r="52" spans="1:5" x14ac:dyDescent="0.35">
      <c r="A52" t="s">
        <v>32</v>
      </c>
      <c r="B52" t="s">
        <v>102</v>
      </c>
      <c r="C52" t="s">
        <v>65</v>
      </c>
      <c r="D52" t="s">
        <v>111</v>
      </c>
      <c r="E52" t="str">
        <f t="shared" si="2"/>
        <v>estradarrm@ortigas.com.ph</v>
      </c>
    </row>
    <row r="53" spans="1:5" x14ac:dyDescent="0.35">
      <c r="A53" t="s">
        <v>32</v>
      </c>
      <c r="B53" t="s">
        <v>103</v>
      </c>
      <c r="C53" t="s">
        <v>65</v>
      </c>
      <c r="D53" t="s">
        <v>71</v>
      </c>
      <c r="E53" t="str">
        <f t="shared" si="2"/>
        <v>almoradiere@ortigas.com.ph</v>
      </c>
    </row>
    <row r="54" spans="1:5" x14ac:dyDescent="0.35">
      <c r="A54" t="s">
        <v>32</v>
      </c>
      <c r="B54" t="s">
        <v>104</v>
      </c>
      <c r="C54" t="s">
        <v>65</v>
      </c>
      <c r="D54" t="s">
        <v>111</v>
      </c>
      <c r="E54" t="str">
        <f t="shared" si="2"/>
        <v>mislosrd@ortigas.com.ph</v>
      </c>
    </row>
    <row r="55" spans="1:5" x14ac:dyDescent="0.35">
      <c r="A55" t="s">
        <v>32</v>
      </c>
      <c r="B55" t="s">
        <v>105</v>
      </c>
      <c r="C55" t="s">
        <v>75</v>
      </c>
      <c r="D55" t="s">
        <v>109</v>
      </c>
      <c r="E55" t="str">
        <f t="shared" si="2"/>
        <v>ramirezvrm@ortigas.com.ph</v>
      </c>
    </row>
    <row r="56" spans="1:5" x14ac:dyDescent="0.35">
      <c r="A56" t="s">
        <v>32</v>
      </c>
      <c r="B56" t="s">
        <v>106</v>
      </c>
      <c r="C56" t="s">
        <v>65</v>
      </c>
      <c r="D56" t="s">
        <v>112</v>
      </c>
      <c r="E56" t="str">
        <f t="shared" si="2"/>
        <v>toledojp@ortigas.com.ph</v>
      </c>
    </row>
    <row r="57" spans="1:5" x14ac:dyDescent="0.35">
      <c r="A57" t="s">
        <v>32</v>
      </c>
      <c r="B57" t="s">
        <v>107</v>
      </c>
      <c r="C57" t="s">
        <v>65</v>
      </c>
      <c r="D57" t="s">
        <v>113</v>
      </c>
      <c r="E57" t="str">
        <f t="shared" si="2"/>
        <v>torresrf@ortigas.com.ph</v>
      </c>
    </row>
    <row r="58" spans="1:5" x14ac:dyDescent="0.35">
      <c r="A58" t="s">
        <v>24</v>
      </c>
      <c r="B58" t="s">
        <v>114</v>
      </c>
      <c r="C58" t="s">
        <v>124</v>
      </c>
      <c r="D58" t="s">
        <v>128</v>
      </c>
      <c r="E58" t="str">
        <f>LOWER(TRIM(RIGHT(SUBSTITUTE(B58, " ", REPT(" ", 100)), 100)) &amp; LEFT(B58, 1) &amp; IF(LEN(B58)-LEN(SUBSTITUTE(B58, " ", ""))&gt;=2, MID(B58, FIND(" ", B58)+1, 1), "") &amp; IF(LEN(B58)-LEN(SUBSTITUTE(B58, " ", ""))&gt;=3, MID(B58, FIND(" ", B58, FIND(" ", B58)+1)+1, 1), "") &amp; "@ortigas.com.ph")</f>
        <v>buenaobracc@ortigas.com.ph</v>
      </c>
    </row>
    <row r="59" spans="1:5" x14ac:dyDescent="0.35">
      <c r="A59" t="s">
        <v>24</v>
      </c>
      <c r="B59" t="s">
        <v>115</v>
      </c>
      <c r="C59" t="s">
        <v>124</v>
      </c>
      <c r="D59" t="s">
        <v>129</v>
      </c>
      <c r="E59" t="str">
        <f t="shared" ref="E59:E68" si="3">LOWER(TRIM(RIGHT(SUBSTITUTE(B59, " ", REPT(" ", 100)), 100)) &amp; LEFT(B59, 1) &amp; IF(LEN(B59)-LEN(SUBSTITUTE(B59, " ", ""))&gt;=2, MID(B59, FIND(" ", B59)+1, 1), "") &amp; IF(LEN(B59)-LEN(SUBSTITUTE(B59, " ", ""))&gt;=3, MID(B59, FIND(" ", B59, FIND(" ", B59)+1)+1, 1), "") &amp; "@ortigas.com.ph")</f>
        <v>celestialckt@ortigas.com.ph</v>
      </c>
    </row>
    <row r="60" spans="1:5" x14ac:dyDescent="0.35">
      <c r="A60" t="s">
        <v>24</v>
      </c>
      <c r="B60" t="s">
        <v>116</v>
      </c>
      <c r="C60" t="s">
        <v>124</v>
      </c>
      <c r="D60" t="s">
        <v>130</v>
      </c>
      <c r="E60" t="str">
        <f t="shared" si="3"/>
        <v>demorejmr@ortigas.com.ph</v>
      </c>
    </row>
    <row r="61" spans="1:5" x14ac:dyDescent="0.35">
      <c r="A61" t="s">
        <v>24</v>
      </c>
      <c r="B61" t="s">
        <v>117</v>
      </c>
      <c r="C61" t="s">
        <v>125</v>
      </c>
      <c r="D61" t="s">
        <v>131</v>
      </c>
      <c r="E61" t="str">
        <f t="shared" si="3"/>
        <v>borjaljc@ortigas.com.ph</v>
      </c>
    </row>
    <row r="62" spans="1:5" x14ac:dyDescent="0.35">
      <c r="A62" t="s">
        <v>24</v>
      </c>
      <c r="B62" t="s">
        <v>118</v>
      </c>
      <c r="C62" t="s">
        <v>125</v>
      </c>
      <c r="D62" t="s">
        <v>132</v>
      </c>
      <c r="E62" t="str">
        <f t="shared" si="3"/>
        <v>mengullomat@ortigas.com.ph</v>
      </c>
    </row>
    <row r="63" spans="1:5" x14ac:dyDescent="0.35">
      <c r="A63" t="s">
        <v>24</v>
      </c>
      <c r="B63" t="s">
        <v>119</v>
      </c>
      <c r="C63" t="s">
        <v>126</v>
      </c>
      <c r="D63" t="s">
        <v>133</v>
      </c>
      <c r="E63" t="str">
        <f t="shared" si="3"/>
        <v>danganpam@ortigas.com.ph</v>
      </c>
    </row>
    <row r="64" spans="1:5" x14ac:dyDescent="0.35">
      <c r="A64" t="s">
        <v>24</v>
      </c>
      <c r="B64" t="s">
        <v>120</v>
      </c>
      <c r="C64" t="s">
        <v>126</v>
      </c>
      <c r="D64" t="s">
        <v>134</v>
      </c>
      <c r="E64" t="str">
        <f t="shared" si="3"/>
        <v>locsinr@ortigas.com.ph</v>
      </c>
    </row>
    <row r="65" spans="1:5" x14ac:dyDescent="0.35">
      <c r="A65" t="s">
        <v>24</v>
      </c>
      <c r="B65" t="s">
        <v>121</v>
      </c>
      <c r="C65" t="s">
        <v>127</v>
      </c>
      <c r="D65" t="s">
        <v>135</v>
      </c>
      <c r="E65" t="str">
        <f t="shared" si="3"/>
        <v>millsct@ortigas.com.ph</v>
      </c>
    </row>
    <row r="66" spans="1:5" x14ac:dyDescent="0.35">
      <c r="A66" t="s">
        <v>24</v>
      </c>
      <c r="B66" t="s">
        <v>122</v>
      </c>
      <c r="C66" t="s">
        <v>124</v>
      </c>
      <c r="D66" t="s">
        <v>136</v>
      </c>
      <c r="E66" t="str">
        <f t="shared" si="3"/>
        <v>vigaldmf@ortigas.com.ph</v>
      </c>
    </row>
    <row r="67" spans="1:5" x14ac:dyDescent="0.35">
      <c r="A67" t="s">
        <v>24</v>
      </c>
      <c r="B67" t="s">
        <v>123</v>
      </c>
      <c r="C67" t="s">
        <v>124</v>
      </c>
      <c r="D67" t="s">
        <v>89</v>
      </c>
      <c r="E67" t="str">
        <f t="shared" si="3"/>
        <v>dejorastjo@ortigas.com.ph</v>
      </c>
    </row>
    <row r="68" spans="1:5" x14ac:dyDescent="0.35">
      <c r="A68" t="s">
        <v>24</v>
      </c>
      <c r="B68" t="s">
        <v>137</v>
      </c>
      <c r="C68" t="s">
        <v>138</v>
      </c>
      <c r="D68" t="s">
        <v>90</v>
      </c>
      <c r="E68" t="str">
        <f t="shared" si="3"/>
        <v>tubaniaeo@ortigas.com.ph</v>
      </c>
    </row>
    <row r="69" spans="1:5" x14ac:dyDescent="0.35">
      <c r="A69" t="s">
        <v>25</v>
      </c>
      <c r="B69" t="s">
        <v>139</v>
      </c>
      <c r="C69" t="s">
        <v>156</v>
      </c>
      <c r="D69" t="s">
        <v>161</v>
      </c>
      <c r="E69" t="str">
        <f>LOWER(TRIM(RIGHT(SUBSTITUTE(B69, " ", REPT(" ", 100)), 100)) &amp; LEFT(B69, 1) &amp; IF(LEN(B69)-LEN(SUBSTITUTE(B69, " ", ""))&gt;=2, MID(B69, FIND(" ", B69)+1, 1), "") &amp; IF(LEN(B69)-LEN(SUBSTITUTE(B69, " ", ""))&gt;=3, MID(B69, FIND(" ", B69, FIND(" ", B69)+1)+1, 1), "") &amp; "@ortigas.com.ph")</f>
        <v>morenorgg@ortigas.com.ph</v>
      </c>
    </row>
    <row r="70" spans="1:5" x14ac:dyDescent="0.35">
      <c r="A70" t="s">
        <v>25</v>
      </c>
      <c r="B70" t="s">
        <v>140</v>
      </c>
      <c r="C70" t="s">
        <v>157</v>
      </c>
      <c r="D70" t="s">
        <v>162</v>
      </c>
      <c r="E70" t="str">
        <f t="shared" ref="E70:E87" si="4">LOWER(TRIM(RIGHT(SUBSTITUTE(B70, " ", REPT(" ", 100)), 100)) &amp; LEFT(B70, 1) &amp; IF(LEN(B70)-LEN(SUBSTITUTE(B70, " ", ""))&gt;=2, MID(B70, FIND(" ", B70)+1, 1), "") &amp; IF(LEN(B70)-LEN(SUBSTITUTE(B70, " ", ""))&gt;=3, MID(B70, FIND(" ", B70, FIND(" ", B70)+1)+1, 1), "") &amp; "@ortigas.com.ph")</f>
        <v>llacunamcm@ortigas.com.ph</v>
      </c>
    </row>
    <row r="71" spans="1:5" x14ac:dyDescent="0.35">
      <c r="A71" t="s">
        <v>25</v>
      </c>
      <c r="B71" t="s">
        <v>141</v>
      </c>
      <c r="C71" t="s">
        <v>158</v>
      </c>
      <c r="D71" t="s">
        <v>136</v>
      </c>
      <c r="E71" t="str">
        <f t="shared" si="4"/>
        <v>cadaysmc@ortigas.com.ph</v>
      </c>
    </row>
    <row r="72" spans="1:5" x14ac:dyDescent="0.35">
      <c r="A72" t="s">
        <v>25</v>
      </c>
      <c r="B72" t="s">
        <v>142</v>
      </c>
      <c r="C72" t="s">
        <v>156</v>
      </c>
      <c r="D72" t="s">
        <v>163</v>
      </c>
      <c r="E72" t="str">
        <f t="shared" si="4"/>
        <v>borjabs@ortigas.com.ph</v>
      </c>
    </row>
    <row r="73" spans="1:5" x14ac:dyDescent="0.35">
      <c r="A73" t="s">
        <v>25</v>
      </c>
      <c r="B73" t="s">
        <v>121</v>
      </c>
      <c r="C73" t="s">
        <v>127</v>
      </c>
      <c r="D73" t="s">
        <v>135</v>
      </c>
      <c r="E73" t="str">
        <f t="shared" si="4"/>
        <v>millsct@ortigas.com.ph</v>
      </c>
    </row>
    <row r="74" spans="1:5" x14ac:dyDescent="0.35">
      <c r="A74" t="s">
        <v>25</v>
      </c>
      <c r="B74" t="s">
        <v>143</v>
      </c>
      <c r="C74" t="s">
        <v>159</v>
      </c>
      <c r="D74" t="s">
        <v>164</v>
      </c>
      <c r="E74" t="str">
        <f t="shared" si="4"/>
        <v>toraldodi@ortigas.com.ph</v>
      </c>
    </row>
    <row r="75" spans="1:5" x14ac:dyDescent="0.35">
      <c r="A75" t="s">
        <v>25</v>
      </c>
      <c r="B75" t="s">
        <v>144</v>
      </c>
      <c r="C75" t="s">
        <v>157</v>
      </c>
      <c r="D75" t="s">
        <v>165</v>
      </c>
      <c r="E75" t="str">
        <f t="shared" si="4"/>
        <v>veraead@ortigas.com.ph</v>
      </c>
    </row>
    <row r="76" spans="1:5" x14ac:dyDescent="0.35">
      <c r="A76" t="s">
        <v>25</v>
      </c>
      <c r="B76" t="s">
        <v>137</v>
      </c>
      <c r="C76" t="s">
        <v>138</v>
      </c>
      <c r="D76" t="s">
        <v>90</v>
      </c>
      <c r="E76" t="str">
        <f t="shared" si="4"/>
        <v>tubaniaeo@ortigas.com.ph</v>
      </c>
    </row>
    <row r="77" spans="1:5" x14ac:dyDescent="0.35">
      <c r="A77" t="s">
        <v>25</v>
      </c>
      <c r="B77" t="s">
        <v>145</v>
      </c>
      <c r="C77" t="s">
        <v>156</v>
      </c>
      <c r="D77" t="s">
        <v>166</v>
      </c>
      <c r="E77" t="str">
        <f t="shared" si="4"/>
        <v>estoyfg@ortigas.com.ph</v>
      </c>
    </row>
    <row r="78" spans="1:5" x14ac:dyDescent="0.35">
      <c r="A78" t="s">
        <v>25</v>
      </c>
      <c r="B78" t="s">
        <v>146</v>
      </c>
      <c r="C78" t="s">
        <v>156</v>
      </c>
      <c r="D78" t="s">
        <v>167</v>
      </c>
      <c r="E78" t="str">
        <f t="shared" si="4"/>
        <v>zamorajca@ortigas.com.ph</v>
      </c>
    </row>
    <row r="79" spans="1:5" x14ac:dyDescent="0.35">
      <c r="A79" t="s">
        <v>25</v>
      </c>
      <c r="B79" t="s">
        <v>147</v>
      </c>
      <c r="C79" t="s">
        <v>159</v>
      </c>
      <c r="D79" t="s">
        <v>168</v>
      </c>
      <c r="E79" t="str">
        <f t="shared" si="4"/>
        <v>fabricantejm@ortigas.com.ph</v>
      </c>
    </row>
    <row r="80" spans="1:5" x14ac:dyDescent="0.35">
      <c r="A80" t="s">
        <v>25</v>
      </c>
      <c r="B80" t="s">
        <v>148</v>
      </c>
      <c r="C80" t="s">
        <v>160</v>
      </c>
      <c r="D80" t="s">
        <v>169</v>
      </c>
      <c r="E80" t="str">
        <f t="shared" si="4"/>
        <v>vazquezjjf@ortigas.com.ph</v>
      </c>
    </row>
    <row r="81" spans="1:5" x14ac:dyDescent="0.35">
      <c r="A81" t="s">
        <v>25</v>
      </c>
      <c r="B81" t="s">
        <v>149</v>
      </c>
      <c r="C81" t="s">
        <v>157</v>
      </c>
      <c r="D81" t="s">
        <v>170</v>
      </c>
      <c r="E81" t="str">
        <f t="shared" si="4"/>
        <v>alcantarakmo@ortigas.com.ph</v>
      </c>
    </row>
    <row r="82" spans="1:5" x14ac:dyDescent="0.35">
      <c r="A82" t="s">
        <v>25</v>
      </c>
      <c r="B82" t="s">
        <v>150</v>
      </c>
      <c r="C82" t="s">
        <v>159</v>
      </c>
      <c r="D82" t="s">
        <v>171</v>
      </c>
      <c r="E82" t="str">
        <f t="shared" si="4"/>
        <v>tubacmja@ortigas.com.ph</v>
      </c>
    </row>
    <row r="83" spans="1:5" x14ac:dyDescent="0.35">
      <c r="A83" t="s">
        <v>25</v>
      </c>
      <c r="B83" t="s">
        <v>151</v>
      </c>
      <c r="C83" t="s">
        <v>159</v>
      </c>
      <c r="D83" t="s">
        <v>171</v>
      </c>
      <c r="E83" t="str">
        <f t="shared" si="4"/>
        <v>fajardorju@ortigas.com.ph</v>
      </c>
    </row>
    <row r="84" spans="1:5" x14ac:dyDescent="0.35">
      <c r="A84" t="s">
        <v>25</v>
      </c>
      <c r="B84" t="s">
        <v>152</v>
      </c>
      <c r="C84" t="s">
        <v>156</v>
      </c>
      <c r="D84" t="s">
        <v>166</v>
      </c>
      <c r="E84" t="str">
        <f t="shared" si="4"/>
        <v>cajardor@ortigas.com.ph</v>
      </c>
    </row>
    <row r="85" spans="1:5" x14ac:dyDescent="0.35">
      <c r="A85" t="s">
        <v>25</v>
      </c>
      <c r="B85" t="s">
        <v>153</v>
      </c>
      <c r="C85" t="s">
        <v>25</v>
      </c>
      <c r="D85" t="s">
        <v>172</v>
      </c>
      <c r="E85" t="str">
        <f t="shared" si="4"/>
        <v>laors@ortigas.com.ph</v>
      </c>
    </row>
    <row r="86" spans="1:5" x14ac:dyDescent="0.35">
      <c r="A86" t="s">
        <v>25</v>
      </c>
      <c r="B86" t="s">
        <v>154</v>
      </c>
      <c r="C86" t="s">
        <v>157</v>
      </c>
      <c r="D86" t="s">
        <v>173</v>
      </c>
      <c r="E86" t="str">
        <f t="shared" si="4"/>
        <v>gregoriorjo@ortigas.com.ph</v>
      </c>
    </row>
    <row r="87" spans="1:5" x14ac:dyDescent="0.35">
      <c r="A87" t="s">
        <v>25</v>
      </c>
      <c r="B87" t="s">
        <v>155</v>
      </c>
      <c r="C87" t="s">
        <v>160</v>
      </c>
      <c r="D87" t="s">
        <v>174</v>
      </c>
      <c r="E87" t="str">
        <f t="shared" si="4"/>
        <v>ayalajp@ortigas.com.ph</v>
      </c>
    </row>
    <row r="88" spans="1:5" x14ac:dyDescent="0.35">
      <c r="A88" t="s">
        <v>26</v>
      </c>
      <c r="B88" t="s">
        <v>175</v>
      </c>
      <c r="C88" t="s">
        <v>193</v>
      </c>
      <c r="D88" t="s">
        <v>199</v>
      </c>
      <c r="E88" t="str">
        <f>LOWER(TRIM(RIGHT(SUBSTITUTE(B88, " ", REPT(" ", 100)), 100)) &amp; LEFT(B88, 1) &amp; IF(LEN(B88)-LEN(SUBSTITUTE(B88, " ", ""))&gt;=2, MID(B88, FIND(" ", B88)+1, 1), "") &amp; IF(LEN(B88)-LEN(SUBSTITUTE(B88, " ", ""))&gt;=3, MID(B88, FIND(" ", B88, FIND(" ", B88)+1)+1, 1), "") &amp; "@ortigas.com.ph")</f>
        <v>delfinamr@ortigas.com.ph</v>
      </c>
    </row>
    <row r="89" spans="1:5" x14ac:dyDescent="0.35">
      <c r="A89" t="s">
        <v>26</v>
      </c>
      <c r="B89" t="s">
        <v>176</v>
      </c>
      <c r="C89" t="s">
        <v>194</v>
      </c>
      <c r="D89" t="s">
        <v>200</v>
      </c>
      <c r="E89" t="str">
        <f t="shared" ref="E89:E149" si="5">LOWER(TRIM(RIGHT(SUBSTITUTE(B89, " ", REPT(" ", 100)), 100)) &amp; LEFT(B89, 1) &amp; IF(LEN(B89)-LEN(SUBSTITUTE(B89, " ", ""))&gt;=2, MID(B89, FIND(" ", B89)+1, 1), "") &amp; IF(LEN(B89)-LEN(SUBSTITUTE(B89, " ", ""))&gt;=3, MID(B89, FIND(" ", B89, FIND(" ", B89)+1)+1, 1), "") &amp; "@ortigas.com.ph")</f>
        <v>anchetadp@ortigas.com.ph</v>
      </c>
    </row>
    <row r="90" spans="1:5" x14ac:dyDescent="0.35">
      <c r="A90" t="s">
        <v>26</v>
      </c>
      <c r="B90" t="s">
        <v>177</v>
      </c>
      <c r="C90" t="s">
        <v>194</v>
      </c>
      <c r="D90" t="s">
        <v>201</v>
      </c>
      <c r="E90" t="str">
        <f t="shared" si="5"/>
        <v>javierjac@ortigas.com.ph</v>
      </c>
    </row>
    <row r="91" spans="1:5" x14ac:dyDescent="0.35">
      <c r="A91" t="s">
        <v>26</v>
      </c>
      <c r="B91" t="s">
        <v>178</v>
      </c>
      <c r="C91" t="s">
        <v>195</v>
      </c>
      <c r="D91" t="s">
        <v>202</v>
      </c>
      <c r="E91" t="str">
        <f t="shared" si="5"/>
        <v>jorenko@ortigas.com.ph</v>
      </c>
    </row>
    <row r="92" spans="1:5" x14ac:dyDescent="0.35">
      <c r="A92" t="s">
        <v>26</v>
      </c>
      <c r="B92" t="s">
        <v>179</v>
      </c>
      <c r="C92" t="s">
        <v>196</v>
      </c>
      <c r="D92" t="s">
        <v>89</v>
      </c>
      <c r="E92" t="str">
        <f t="shared" si="5"/>
        <v>reyeslmc@ortigas.com.ph</v>
      </c>
    </row>
    <row r="93" spans="1:5" x14ac:dyDescent="0.35">
      <c r="A93" t="s">
        <v>26</v>
      </c>
      <c r="B93" t="s">
        <v>180</v>
      </c>
      <c r="C93" t="s">
        <v>197</v>
      </c>
      <c r="D93" t="s">
        <v>128</v>
      </c>
      <c r="E93" t="str">
        <f t="shared" si="5"/>
        <v>asima@ortigas.com.ph</v>
      </c>
    </row>
    <row r="94" spans="1:5" x14ac:dyDescent="0.35">
      <c r="A94" t="s">
        <v>26</v>
      </c>
      <c r="B94" t="s">
        <v>181</v>
      </c>
      <c r="C94" t="s">
        <v>197</v>
      </c>
      <c r="D94" t="s">
        <v>128</v>
      </c>
      <c r="E94" t="str">
        <f t="shared" si="5"/>
        <v>aclanrb@ortigas.com.ph</v>
      </c>
    </row>
    <row r="95" spans="1:5" x14ac:dyDescent="0.35">
      <c r="A95" t="s">
        <v>26</v>
      </c>
      <c r="B95" t="s">
        <v>182</v>
      </c>
      <c r="C95" t="s">
        <v>194</v>
      </c>
      <c r="D95" t="s">
        <v>203</v>
      </c>
      <c r="E95" t="str">
        <f t="shared" si="5"/>
        <v>barrenosja@ortigas.com.ph</v>
      </c>
    </row>
    <row r="96" spans="1:5" x14ac:dyDescent="0.35">
      <c r="A96" t="s">
        <v>26</v>
      </c>
      <c r="B96" t="s">
        <v>183</v>
      </c>
      <c r="C96" t="s">
        <v>198</v>
      </c>
      <c r="D96" t="s">
        <v>204</v>
      </c>
      <c r="E96" t="str">
        <f t="shared" si="5"/>
        <v>tosiozle@ortigas.com.ph</v>
      </c>
    </row>
    <row r="97" spans="1:5" x14ac:dyDescent="0.35">
      <c r="A97" t="s">
        <v>26</v>
      </c>
      <c r="B97" t="s">
        <v>184</v>
      </c>
      <c r="C97" t="s">
        <v>197</v>
      </c>
      <c r="D97" t="s">
        <v>128</v>
      </c>
      <c r="E97" t="str">
        <f t="shared" si="5"/>
        <v>policarpioae@ortigas.com.ph</v>
      </c>
    </row>
    <row r="98" spans="1:5" x14ac:dyDescent="0.35">
      <c r="A98" t="s">
        <v>26</v>
      </c>
      <c r="B98" t="s">
        <v>185</v>
      </c>
      <c r="C98" t="s">
        <v>197</v>
      </c>
      <c r="D98" t="s">
        <v>205</v>
      </c>
      <c r="E98" t="str">
        <f t="shared" si="5"/>
        <v>lasanasjh@ortigas.com.ph</v>
      </c>
    </row>
    <row r="99" spans="1:5" x14ac:dyDescent="0.35">
      <c r="A99" t="s">
        <v>26</v>
      </c>
      <c r="B99" t="s">
        <v>186</v>
      </c>
      <c r="C99" t="s">
        <v>194</v>
      </c>
      <c r="D99" t="s">
        <v>206</v>
      </c>
      <c r="E99" t="str">
        <f t="shared" si="5"/>
        <v>pacomaka@ortigas.com.ph</v>
      </c>
    </row>
    <row r="100" spans="1:5" x14ac:dyDescent="0.35">
      <c r="A100" t="s">
        <v>26</v>
      </c>
      <c r="B100" t="s">
        <v>187</v>
      </c>
      <c r="C100" t="s">
        <v>195</v>
      </c>
      <c r="D100" t="s">
        <v>207</v>
      </c>
      <c r="E100" t="str">
        <f t="shared" si="5"/>
        <v>eusebiokr@ortigas.com.ph</v>
      </c>
    </row>
    <row r="101" spans="1:5" x14ac:dyDescent="0.35">
      <c r="A101" t="s">
        <v>26</v>
      </c>
      <c r="B101" t="s">
        <v>188</v>
      </c>
      <c r="C101" t="s">
        <v>197</v>
      </c>
      <c r="D101" t="s">
        <v>208</v>
      </c>
      <c r="E101" t="str">
        <f t="shared" si="5"/>
        <v>pascualg@ortigas.com.ph</v>
      </c>
    </row>
    <row r="102" spans="1:5" x14ac:dyDescent="0.35">
      <c r="A102" t="s">
        <v>26</v>
      </c>
      <c r="B102" t="s">
        <v>189</v>
      </c>
      <c r="C102" t="s">
        <v>195</v>
      </c>
      <c r="D102" t="s">
        <v>209</v>
      </c>
      <c r="E102" t="str">
        <f t="shared" si="5"/>
        <v>castromct@ortigas.com.ph</v>
      </c>
    </row>
    <row r="103" spans="1:5" x14ac:dyDescent="0.35">
      <c r="A103" t="s">
        <v>26</v>
      </c>
      <c r="B103" t="s">
        <v>190</v>
      </c>
      <c r="C103" t="s">
        <v>198</v>
      </c>
      <c r="D103" t="s">
        <v>210</v>
      </c>
      <c r="E103" t="str">
        <f t="shared" si="5"/>
        <v>amantemjm@ortigas.com.ph</v>
      </c>
    </row>
    <row r="104" spans="1:5" x14ac:dyDescent="0.35">
      <c r="A104" t="s">
        <v>26</v>
      </c>
      <c r="B104" t="s">
        <v>191</v>
      </c>
      <c r="C104" t="s">
        <v>194</v>
      </c>
      <c r="D104" t="s">
        <v>211</v>
      </c>
      <c r="E104" t="str">
        <f t="shared" si="5"/>
        <v>cruznra@ortigas.com.ph</v>
      </c>
    </row>
    <row r="105" spans="1:5" x14ac:dyDescent="0.35">
      <c r="A105" t="s">
        <v>26</v>
      </c>
      <c r="B105" t="s">
        <v>192</v>
      </c>
      <c r="C105" t="s">
        <v>197</v>
      </c>
      <c r="D105" t="s">
        <v>130</v>
      </c>
      <c r="E105" t="str">
        <f t="shared" si="5"/>
        <v>tumandaowt@ortigas.com.ph</v>
      </c>
    </row>
    <row r="106" spans="1:5" x14ac:dyDescent="0.35">
      <c r="A106" t="s">
        <v>26</v>
      </c>
      <c r="B106" t="s">
        <v>213</v>
      </c>
      <c r="C106" t="s">
        <v>212</v>
      </c>
      <c r="D106" t="s">
        <v>233</v>
      </c>
      <c r="E106" t="str">
        <f t="shared" si="5"/>
        <v>ortonioarb@ortigas.com.ph</v>
      </c>
    </row>
    <row r="107" spans="1:5" x14ac:dyDescent="0.35">
      <c r="A107" t="s">
        <v>26</v>
      </c>
      <c r="B107" t="s">
        <v>214</v>
      </c>
      <c r="C107" t="s">
        <v>212</v>
      </c>
      <c r="D107" t="s">
        <v>233</v>
      </c>
      <c r="E107" t="str">
        <f t="shared" si="5"/>
        <v>lustreapc@ortigas.com.ph</v>
      </c>
    </row>
    <row r="108" spans="1:5" x14ac:dyDescent="0.35">
      <c r="A108" t="s">
        <v>26</v>
      </c>
      <c r="B108" t="s">
        <v>215</v>
      </c>
      <c r="C108" t="s">
        <v>212</v>
      </c>
      <c r="D108" t="s">
        <v>234</v>
      </c>
      <c r="E108" t="str">
        <f t="shared" si="5"/>
        <v>tarrobalamc@ortigas.com.ph</v>
      </c>
    </row>
    <row r="109" spans="1:5" x14ac:dyDescent="0.35">
      <c r="A109" t="s">
        <v>26</v>
      </c>
      <c r="B109" t="s">
        <v>216</v>
      </c>
      <c r="C109" t="s">
        <v>212</v>
      </c>
      <c r="D109" t="s">
        <v>234</v>
      </c>
      <c r="E109" t="str">
        <f t="shared" si="5"/>
        <v>dolletonars@ortigas.com.ph</v>
      </c>
    </row>
    <row r="110" spans="1:5" x14ac:dyDescent="0.35">
      <c r="A110" t="s">
        <v>26</v>
      </c>
      <c r="B110" t="s">
        <v>217</v>
      </c>
      <c r="C110" t="s">
        <v>212</v>
      </c>
      <c r="D110" t="s">
        <v>234</v>
      </c>
      <c r="E110" t="str">
        <f t="shared" si="5"/>
        <v>mallariarb@ortigas.com.ph</v>
      </c>
    </row>
    <row r="111" spans="1:5" x14ac:dyDescent="0.35">
      <c r="A111" t="s">
        <v>26</v>
      </c>
      <c r="B111" t="s">
        <v>218</v>
      </c>
      <c r="C111" t="s">
        <v>212</v>
      </c>
      <c r="D111" t="s">
        <v>235</v>
      </c>
      <c r="E111" t="str">
        <f t="shared" si="5"/>
        <v>pangiliganajm@ortigas.com.ph</v>
      </c>
    </row>
    <row r="112" spans="1:5" x14ac:dyDescent="0.35">
      <c r="A112" t="s">
        <v>26</v>
      </c>
      <c r="B112" t="s">
        <v>219</v>
      </c>
      <c r="C112" t="s">
        <v>212</v>
      </c>
      <c r="D112" t="s">
        <v>234</v>
      </c>
      <c r="E112" t="str">
        <f t="shared" si="5"/>
        <v>garciabg@ortigas.com.ph</v>
      </c>
    </row>
    <row r="113" spans="1:5" x14ac:dyDescent="0.35">
      <c r="A113" t="s">
        <v>26</v>
      </c>
      <c r="B113" t="s">
        <v>220</v>
      </c>
      <c r="C113" t="s">
        <v>212</v>
      </c>
      <c r="D113" t="s">
        <v>234</v>
      </c>
      <c r="E113" t="str">
        <f t="shared" si="5"/>
        <v>iletocbm@ortigas.com.ph</v>
      </c>
    </row>
    <row r="114" spans="1:5" x14ac:dyDescent="0.35">
      <c r="A114" t="s">
        <v>26</v>
      </c>
      <c r="B114" t="s">
        <v>221</v>
      </c>
      <c r="C114" t="s">
        <v>212</v>
      </c>
      <c r="D114" t="s">
        <v>236</v>
      </c>
      <c r="E114" t="str">
        <f t="shared" si="5"/>
        <v>hanga-andjf@ortigas.com.ph</v>
      </c>
    </row>
    <row r="115" spans="1:5" x14ac:dyDescent="0.35">
      <c r="A115" t="s">
        <v>26</v>
      </c>
      <c r="B115" t="s">
        <v>222</v>
      </c>
      <c r="C115" t="s">
        <v>212</v>
      </c>
      <c r="D115" t="s">
        <v>234</v>
      </c>
      <c r="E115" t="str">
        <f t="shared" si="5"/>
        <v>dimaculangandm@ortigas.com.ph</v>
      </c>
    </row>
    <row r="116" spans="1:5" x14ac:dyDescent="0.35">
      <c r="A116" t="s">
        <v>26</v>
      </c>
      <c r="B116" t="s">
        <v>223</v>
      </c>
      <c r="C116" t="s">
        <v>212</v>
      </c>
      <c r="D116" t="s">
        <v>234</v>
      </c>
      <c r="E116" t="str">
        <f t="shared" si="5"/>
        <v>goleshjs@ortigas.com.ph</v>
      </c>
    </row>
    <row r="117" spans="1:5" x14ac:dyDescent="0.35">
      <c r="A117" t="s">
        <v>26</v>
      </c>
      <c r="B117" t="s">
        <v>224</v>
      </c>
      <c r="C117" t="s">
        <v>212</v>
      </c>
      <c r="D117" t="s">
        <v>234</v>
      </c>
      <c r="E117" t="str">
        <f t="shared" si="5"/>
        <v>rosarioiah@ortigas.com.ph</v>
      </c>
    </row>
    <row r="118" spans="1:5" x14ac:dyDescent="0.35">
      <c r="A118" t="s">
        <v>26</v>
      </c>
      <c r="B118" t="s">
        <v>225</v>
      </c>
      <c r="C118" t="s">
        <v>212</v>
      </c>
      <c r="D118" t="s">
        <v>234</v>
      </c>
      <c r="E118" t="str">
        <f t="shared" si="5"/>
        <v>rodriguezkg@ortigas.com.ph</v>
      </c>
    </row>
    <row r="119" spans="1:5" x14ac:dyDescent="0.35">
      <c r="A119" t="s">
        <v>26</v>
      </c>
      <c r="B119" t="s">
        <v>226</v>
      </c>
      <c r="C119" t="s">
        <v>212</v>
      </c>
      <c r="D119" t="s">
        <v>234</v>
      </c>
      <c r="E119" t="str">
        <f t="shared" si="5"/>
        <v>elizonmjf@ortigas.com.ph</v>
      </c>
    </row>
    <row r="120" spans="1:5" x14ac:dyDescent="0.35">
      <c r="A120" t="s">
        <v>26</v>
      </c>
      <c r="B120" t="s">
        <v>227</v>
      </c>
      <c r="C120" t="s">
        <v>212</v>
      </c>
      <c r="D120" t="s">
        <v>234</v>
      </c>
      <c r="E120" t="str">
        <f t="shared" si="5"/>
        <v>davidm@ortigas.com.ph</v>
      </c>
    </row>
    <row r="121" spans="1:5" x14ac:dyDescent="0.35">
      <c r="A121" t="s">
        <v>26</v>
      </c>
      <c r="B121" t="s">
        <v>228</v>
      </c>
      <c r="C121" t="s">
        <v>212</v>
      </c>
      <c r="D121" t="s">
        <v>233</v>
      </c>
      <c r="E121" t="str">
        <f t="shared" si="5"/>
        <v>italianb@ortigas.com.ph</v>
      </c>
    </row>
    <row r="122" spans="1:5" x14ac:dyDescent="0.35">
      <c r="A122" t="s">
        <v>26</v>
      </c>
      <c r="B122" t="s">
        <v>229</v>
      </c>
      <c r="C122" t="s">
        <v>212</v>
      </c>
      <c r="D122" t="s">
        <v>237</v>
      </c>
      <c r="E122" t="str">
        <f t="shared" si="5"/>
        <v>espiriturm@ortigas.com.ph</v>
      </c>
    </row>
    <row r="123" spans="1:5" x14ac:dyDescent="0.35">
      <c r="A123" t="s">
        <v>26</v>
      </c>
      <c r="B123" t="s">
        <v>230</v>
      </c>
      <c r="C123" t="s">
        <v>212</v>
      </c>
      <c r="D123" t="s">
        <v>234</v>
      </c>
      <c r="E123" t="str">
        <f t="shared" si="5"/>
        <v>cruzrkb@ortigas.com.ph</v>
      </c>
    </row>
    <row r="124" spans="1:5" x14ac:dyDescent="0.35">
      <c r="A124" t="s">
        <v>26</v>
      </c>
      <c r="B124" t="s">
        <v>231</v>
      </c>
      <c r="C124" t="s">
        <v>212</v>
      </c>
      <c r="D124" t="s">
        <v>238</v>
      </c>
      <c r="E124" t="str">
        <f t="shared" si="5"/>
        <v>mendozaja@ortigas.com.ph</v>
      </c>
    </row>
    <row r="125" spans="1:5" x14ac:dyDescent="0.35">
      <c r="A125" t="s">
        <v>26</v>
      </c>
      <c r="B125" t="s">
        <v>232</v>
      </c>
      <c r="C125" t="s">
        <v>212</v>
      </c>
      <c r="D125" t="s">
        <v>239</v>
      </c>
      <c r="E125" t="str">
        <f t="shared" si="5"/>
        <v>concepcionlre@ortigas.com.ph</v>
      </c>
    </row>
    <row r="126" spans="1:5" x14ac:dyDescent="0.35">
      <c r="A126" t="s">
        <v>26</v>
      </c>
      <c r="B126" t="s">
        <v>240</v>
      </c>
      <c r="C126" t="s">
        <v>263</v>
      </c>
      <c r="D126" t="s">
        <v>269</v>
      </c>
      <c r="E126" t="str">
        <f t="shared" si="5"/>
        <v>tulozaav@ortigas.com.ph</v>
      </c>
    </row>
    <row r="127" spans="1:5" x14ac:dyDescent="0.35">
      <c r="A127" t="s">
        <v>26</v>
      </c>
      <c r="B127" t="s">
        <v>241</v>
      </c>
      <c r="C127" t="s">
        <v>264</v>
      </c>
      <c r="D127" t="s">
        <v>270</v>
      </c>
      <c r="E127" t="str">
        <f t="shared" si="5"/>
        <v>romoap@ortigas.com.ph</v>
      </c>
    </row>
    <row r="128" spans="1:5" x14ac:dyDescent="0.35">
      <c r="A128" t="s">
        <v>26</v>
      </c>
      <c r="B128" t="s">
        <v>242</v>
      </c>
      <c r="C128" t="s">
        <v>264</v>
      </c>
      <c r="D128" t="s">
        <v>271</v>
      </c>
      <c r="E128" t="str">
        <f t="shared" si="5"/>
        <v>satorreaj@ortigas.com.ph</v>
      </c>
    </row>
    <row r="129" spans="1:5" x14ac:dyDescent="0.35">
      <c r="A129" t="s">
        <v>26</v>
      </c>
      <c r="B129" t="s">
        <v>175</v>
      </c>
      <c r="C129" t="s">
        <v>193</v>
      </c>
      <c r="D129" t="s">
        <v>199</v>
      </c>
      <c r="E129" t="str">
        <f t="shared" si="5"/>
        <v>delfinamr@ortigas.com.ph</v>
      </c>
    </row>
    <row r="130" spans="1:5" x14ac:dyDescent="0.35">
      <c r="A130" t="s">
        <v>26</v>
      </c>
      <c r="B130" t="s">
        <v>243</v>
      </c>
      <c r="C130" t="s">
        <v>263</v>
      </c>
      <c r="D130" t="s">
        <v>272</v>
      </c>
      <c r="E130" t="str">
        <f t="shared" si="5"/>
        <v>oxiniocjm@ortigas.com.ph</v>
      </c>
    </row>
    <row r="131" spans="1:5" x14ac:dyDescent="0.35">
      <c r="A131" t="s">
        <v>26</v>
      </c>
      <c r="B131" t="s">
        <v>244</v>
      </c>
      <c r="C131" t="s">
        <v>265</v>
      </c>
      <c r="D131" t="s">
        <v>39</v>
      </c>
      <c r="E131" t="str">
        <f t="shared" si="5"/>
        <v>balverdeel@ortigas.com.ph</v>
      </c>
    </row>
    <row r="132" spans="1:5" x14ac:dyDescent="0.35">
      <c r="A132" t="s">
        <v>26</v>
      </c>
      <c r="B132" t="s">
        <v>245</v>
      </c>
      <c r="C132" t="s">
        <v>264</v>
      </c>
      <c r="D132" t="s">
        <v>273</v>
      </c>
      <c r="E132" t="str">
        <f t="shared" si="5"/>
        <v>rodriguezjf@ortigas.com.ph</v>
      </c>
    </row>
    <row r="133" spans="1:5" x14ac:dyDescent="0.35">
      <c r="A133" t="s">
        <v>26</v>
      </c>
      <c r="B133" t="s">
        <v>246</v>
      </c>
      <c r="C133" t="s">
        <v>263</v>
      </c>
      <c r="D133" t="s">
        <v>274</v>
      </c>
      <c r="E133" t="str">
        <f t="shared" si="5"/>
        <v>peñaflorjrs@ortigas.com.ph</v>
      </c>
    </row>
    <row r="134" spans="1:5" x14ac:dyDescent="0.35">
      <c r="A134" t="s">
        <v>26</v>
      </c>
      <c r="B134" t="s">
        <v>247</v>
      </c>
      <c r="C134" t="s">
        <v>263</v>
      </c>
      <c r="D134" t="s">
        <v>269</v>
      </c>
      <c r="E134" t="str">
        <f t="shared" si="5"/>
        <v>sardomajp@ortigas.com.ph</v>
      </c>
    </row>
    <row r="135" spans="1:5" x14ac:dyDescent="0.35">
      <c r="A135" t="s">
        <v>26</v>
      </c>
      <c r="B135" t="s">
        <v>248</v>
      </c>
      <c r="C135" t="s">
        <v>264</v>
      </c>
      <c r="D135" t="s">
        <v>273</v>
      </c>
      <c r="E135" t="str">
        <f t="shared" si="5"/>
        <v>davidjpg@ortigas.com.ph</v>
      </c>
    </row>
    <row r="136" spans="1:5" x14ac:dyDescent="0.35">
      <c r="A136" t="s">
        <v>26</v>
      </c>
      <c r="B136" t="s">
        <v>249</v>
      </c>
      <c r="C136" t="s">
        <v>264</v>
      </c>
      <c r="D136" t="s">
        <v>275</v>
      </c>
      <c r="E136" t="str">
        <f t="shared" si="5"/>
        <v>canojc@ortigas.com.ph</v>
      </c>
    </row>
    <row r="137" spans="1:5" x14ac:dyDescent="0.35">
      <c r="A137" t="s">
        <v>26</v>
      </c>
      <c r="B137" t="s">
        <v>250</v>
      </c>
      <c r="C137" t="s">
        <v>266</v>
      </c>
      <c r="D137" t="s">
        <v>276</v>
      </c>
      <c r="E137" t="str">
        <f t="shared" si="5"/>
        <v>fernandoj@ortigas.com.ph</v>
      </c>
    </row>
    <row r="138" spans="1:5" x14ac:dyDescent="0.35">
      <c r="A138" t="s">
        <v>26</v>
      </c>
      <c r="B138" t="s">
        <v>251</v>
      </c>
      <c r="C138" t="s">
        <v>263</v>
      </c>
      <c r="D138" t="s">
        <v>277</v>
      </c>
      <c r="E138" t="str">
        <f t="shared" si="5"/>
        <v>lilanganli@ortigas.com.ph</v>
      </c>
    </row>
    <row r="139" spans="1:5" x14ac:dyDescent="0.35">
      <c r="A139" t="s">
        <v>26</v>
      </c>
      <c r="B139" t="s">
        <v>252</v>
      </c>
      <c r="C139" t="s">
        <v>266</v>
      </c>
      <c r="D139" t="s">
        <v>278</v>
      </c>
      <c r="E139" t="str">
        <f t="shared" si="5"/>
        <v>gumayanmls@ortigas.com.ph</v>
      </c>
    </row>
    <row r="140" spans="1:5" x14ac:dyDescent="0.35">
      <c r="A140" t="s">
        <v>26</v>
      </c>
      <c r="B140" t="s">
        <v>253</v>
      </c>
      <c r="C140" t="s">
        <v>263</v>
      </c>
      <c r="D140" t="s">
        <v>279</v>
      </c>
      <c r="E140" t="str">
        <f t="shared" si="5"/>
        <v>eleazarmjm@ortigas.com.ph</v>
      </c>
    </row>
    <row r="141" spans="1:5" x14ac:dyDescent="0.35">
      <c r="A141" t="s">
        <v>26</v>
      </c>
      <c r="B141" t="s">
        <v>254</v>
      </c>
      <c r="C141" t="s">
        <v>267</v>
      </c>
      <c r="D141" t="s">
        <v>280</v>
      </c>
      <c r="E141" t="str">
        <f t="shared" si="5"/>
        <v>serquiñamkn@ortigas.com.ph</v>
      </c>
    </row>
    <row r="142" spans="1:5" x14ac:dyDescent="0.35">
      <c r="A142" t="s">
        <v>26</v>
      </c>
      <c r="B142" t="s">
        <v>255</v>
      </c>
      <c r="C142" t="s">
        <v>266</v>
      </c>
      <c r="D142" t="s">
        <v>281</v>
      </c>
      <c r="E142" t="str">
        <f t="shared" si="5"/>
        <v>arroyomek@ortigas.com.ph</v>
      </c>
    </row>
    <row r="143" spans="1:5" x14ac:dyDescent="0.35">
      <c r="A143" t="s">
        <v>26</v>
      </c>
      <c r="B143" t="s">
        <v>256</v>
      </c>
      <c r="C143" t="s">
        <v>264</v>
      </c>
      <c r="D143" t="s">
        <v>282</v>
      </c>
      <c r="E143" t="str">
        <f t="shared" si="5"/>
        <v>aguilarpac@ortigas.com.ph</v>
      </c>
    </row>
    <row r="144" spans="1:5" x14ac:dyDescent="0.35">
      <c r="A144" t="s">
        <v>26</v>
      </c>
      <c r="B144" t="s">
        <v>257</v>
      </c>
      <c r="C144" t="s">
        <v>263</v>
      </c>
      <c r="D144" t="s">
        <v>279</v>
      </c>
      <c r="E144" t="str">
        <f t="shared" si="5"/>
        <v>labongpsj@ortigas.com.ph</v>
      </c>
    </row>
    <row r="145" spans="1:5" x14ac:dyDescent="0.35">
      <c r="A145" t="s">
        <v>26</v>
      </c>
      <c r="B145" t="s">
        <v>258</v>
      </c>
      <c r="C145" t="s">
        <v>266</v>
      </c>
      <c r="D145" t="s">
        <v>283</v>
      </c>
      <c r="E145" t="str">
        <f t="shared" si="5"/>
        <v>octavorg@ortigas.com.ph</v>
      </c>
    </row>
    <row r="146" spans="1:5" x14ac:dyDescent="0.35">
      <c r="A146" t="s">
        <v>26</v>
      </c>
      <c r="B146" t="s">
        <v>259</v>
      </c>
      <c r="C146" t="s">
        <v>263</v>
      </c>
      <c r="D146" t="s">
        <v>272</v>
      </c>
      <c r="E146" t="str">
        <f t="shared" si="5"/>
        <v>pantanillasjf@ortigas.com.ph</v>
      </c>
    </row>
    <row r="147" spans="1:5" x14ac:dyDescent="0.35">
      <c r="A147" t="s">
        <v>26</v>
      </c>
      <c r="B147" t="s">
        <v>260</v>
      </c>
      <c r="C147" t="s">
        <v>267</v>
      </c>
      <c r="D147" t="s">
        <v>284</v>
      </c>
      <c r="E147" t="str">
        <f t="shared" si="5"/>
        <v>bucasasto@ortigas.com.ph</v>
      </c>
    </row>
    <row r="148" spans="1:5" x14ac:dyDescent="0.35">
      <c r="A148" t="s">
        <v>26</v>
      </c>
      <c r="B148" t="s">
        <v>261</v>
      </c>
      <c r="C148" t="s">
        <v>265</v>
      </c>
      <c r="D148" t="s">
        <v>285</v>
      </c>
      <c r="E148" t="str">
        <f t="shared" si="5"/>
        <v>belardojj@ortigas.com.ph</v>
      </c>
    </row>
    <row r="149" spans="1:5" x14ac:dyDescent="0.35">
      <c r="A149" t="s">
        <v>26</v>
      </c>
      <c r="B149" t="s">
        <v>262</v>
      </c>
      <c r="C149" t="s">
        <v>268</v>
      </c>
      <c r="D149" t="s">
        <v>286</v>
      </c>
      <c r="E149" t="str">
        <f t="shared" si="5"/>
        <v>garciamaj@ortigas.com.ph</v>
      </c>
    </row>
    <row r="150" spans="1:5" x14ac:dyDescent="0.35">
      <c r="A150" t="s">
        <v>27</v>
      </c>
    </row>
  </sheetData>
  <autoFilter ref="A2:E150" xr:uid="{C740FF89-6C63-4737-9C87-9C585C55E8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107B-B7A6-46D7-941E-8C0D6663BAE2}">
  <dimension ref="A2:B11"/>
  <sheetViews>
    <sheetView zoomScale="90" zoomScaleNormal="90" workbookViewId="0">
      <selection activeCell="A4" sqref="A4"/>
    </sheetView>
  </sheetViews>
  <sheetFormatPr defaultRowHeight="14.5" x14ac:dyDescent="0.35"/>
  <cols>
    <col min="1" max="1" width="12" customWidth="1"/>
    <col min="2" max="2" width="14.54296875" bestFit="1" customWidth="1"/>
  </cols>
  <sheetData>
    <row r="2" spans="1:2" x14ac:dyDescent="0.35">
      <c r="A2" s="1" t="s">
        <v>29</v>
      </c>
      <c r="B2" s="1" t="s">
        <v>30</v>
      </c>
    </row>
    <row r="3" spans="1:2" x14ac:dyDescent="0.35">
      <c r="A3" t="s">
        <v>23</v>
      </c>
      <c r="B3" t="s">
        <v>31</v>
      </c>
    </row>
    <row r="4" spans="1:2" x14ac:dyDescent="0.35">
      <c r="B4" t="s">
        <v>32</v>
      </c>
    </row>
    <row r="5" spans="1:2" x14ac:dyDescent="0.35">
      <c r="A5" t="s">
        <v>24</v>
      </c>
      <c r="B5" t="s">
        <v>24</v>
      </c>
    </row>
    <row r="6" spans="1:2" x14ac:dyDescent="0.35">
      <c r="A6" t="s">
        <v>25</v>
      </c>
      <c r="B6" t="s">
        <v>25</v>
      </c>
    </row>
    <row r="7" spans="1:2" x14ac:dyDescent="0.35">
      <c r="A7" t="s">
        <v>26</v>
      </c>
      <c r="B7" t="s">
        <v>26</v>
      </c>
    </row>
    <row r="8" spans="1:2" x14ac:dyDescent="0.35">
      <c r="A8" t="s">
        <v>27</v>
      </c>
      <c r="B8" t="s">
        <v>27</v>
      </c>
    </row>
    <row r="9" spans="1:2" x14ac:dyDescent="0.35">
      <c r="A9" t="s">
        <v>28</v>
      </c>
      <c r="B9" t="s">
        <v>3</v>
      </c>
    </row>
    <row r="10" spans="1:2" x14ac:dyDescent="0.35">
      <c r="B10" t="s">
        <v>33</v>
      </c>
    </row>
    <row r="11" spans="1:2" x14ac:dyDescent="0.35">
      <c r="B11" t="s">
        <v>34</v>
      </c>
    </row>
  </sheetData>
  <autoFilter ref="A2:B11" xr:uid="{9873107B-B7A6-46D7-941E-8C0D6663BAE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3791-3E21-4336-A63C-8C2530B83C0C}">
  <dimension ref="A1:B58"/>
  <sheetViews>
    <sheetView zoomScale="80" zoomScaleNormal="80" workbookViewId="0">
      <selection activeCell="B2" sqref="B2"/>
    </sheetView>
  </sheetViews>
  <sheetFormatPr defaultRowHeight="14.5" x14ac:dyDescent="0.35"/>
  <cols>
    <col min="1" max="1" width="49.54296875" bestFit="1" customWidth="1"/>
    <col min="2" max="2" width="18.90625" customWidth="1"/>
  </cols>
  <sheetData>
    <row r="1" spans="1:2" x14ac:dyDescent="0.35">
      <c r="A1" s="1" t="s">
        <v>2</v>
      </c>
      <c r="B1" s="1" t="s">
        <v>314</v>
      </c>
    </row>
    <row r="2" spans="1:2" x14ac:dyDescent="0.35">
      <c r="A2" t="s">
        <v>37</v>
      </c>
      <c r="B2" t="s">
        <v>315</v>
      </c>
    </row>
    <row r="3" spans="1:2" x14ac:dyDescent="0.35">
      <c r="A3" t="s">
        <v>292</v>
      </c>
      <c r="B3" t="s">
        <v>315</v>
      </c>
    </row>
    <row r="4" spans="1:2" x14ac:dyDescent="0.35">
      <c r="A4" t="s">
        <v>299</v>
      </c>
      <c r="B4" t="s">
        <v>316</v>
      </c>
    </row>
    <row r="5" spans="1:2" x14ac:dyDescent="0.35">
      <c r="A5" t="s">
        <v>302</v>
      </c>
      <c r="B5" t="s">
        <v>316</v>
      </c>
    </row>
    <row r="6" spans="1:2" x14ac:dyDescent="0.35">
      <c r="A6" t="s">
        <v>301</v>
      </c>
      <c r="B6" t="s">
        <v>315</v>
      </c>
    </row>
    <row r="7" spans="1:2" x14ac:dyDescent="0.35">
      <c r="A7" t="s">
        <v>313</v>
      </c>
      <c r="B7" t="s">
        <v>315</v>
      </c>
    </row>
    <row r="8" spans="1:2" x14ac:dyDescent="0.35">
      <c r="A8" t="s">
        <v>304</v>
      </c>
      <c r="B8" t="s">
        <v>315</v>
      </c>
    </row>
    <row r="9" spans="1:2" x14ac:dyDescent="0.35">
      <c r="A9" t="s">
        <v>308</v>
      </c>
      <c r="B9" t="s">
        <v>316</v>
      </c>
    </row>
    <row r="10" spans="1:2" x14ac:dyDescent="0.35">
      <c r="A10" t="s">
        <v>289</v>
      </c>
      <c r="B10" t="s">
        <v>316</v>
      </c>
    </row>
    <row r="11" spans="1:2" x14ac:dyDescent="0.35">
      <c r="A11" t="s">
        <v>303</v>
      </c>
      <c r="B11" t="s">
        <v>316</v>
      </c>
    </row>
    <row r="12" spans="1:2" x14ac:dyDescent="0.35">
      <c r="A12" t="s">
        <v>287</v>
      </c>
      <c r="B12" t="s">
        <v>316</v>
      </c>
    </row>
    <row r="13" spans="1:2" x14ac:dyDescent="0.35">
      <c r="A13" t="s">
        <v>25</v>
      </c>
      <c r="B13" t="s">
        <v>316</v>
      </c>
    </row>
    <row r="14" spans="1:2" x14ac:dyDescent="0.35">
      <c r="A14" t="s">
        <v>138</v>
      </c>
      <c r="B14" t="s">
        <v>316</v>
      </c>
    </row>
    <row r="15" spans="1:2" x14ac:dyDescent="0.35">
      <c r="A15" t="s">
        <v>157</v>
      </c>
      <c r="B15" t="s">
        <v>316</v>
      </c>
    </row>
    <row r="16" spans="1:2" x14ac:dyDescent="0.35">
      <c r="A16" t="s">
        <v>160</v>
      </c>
      <c r="B16" t="s">
        <v>316</v>
      </c>
    </row>
    <row r="17" spans="1:2" x14ac:dyDescent="0.35">
      <c r="A17" t="s">
        <v>159</v>
      </c>
      <c r="B17" t="s">
        <v>316</v>
      </c>
    </row>
    <row r="18" spans="1:2" x14ac:dyDescent="0.35">
      <c r="A18" t="s">
        <v>158</v>
      </c>
      <c r="B18" t="s">
        <v>316</v>
      </c>
    </row>
    <row r="19" spans="1:2" x14ac:dyDescent="0.35">
      <c r="A19" t="s">
        <v>156</v>
      </c>
      <c r="B19" t="s">
        <v>316</v>
      </c>
    </row>
    <row r="20" spans="1:2" x14ac:dyDescent="0.35">
      <c r="A20" t="s">
        <v>307</v>
      </c>
      <c r="B20" t="s">
        <v>315</v>
      </c>
    </row>
    <row r="21" spans="1:2" x14ac:dyDescent="0.35">
      <c r="A21" t="s">
        <v>124</v>
      </c>
      <c r="B21" t="s">
        <v>316</v>
      </c>
    </row>
    <row r="22" spans="1:2" x14ac:dyDescent="0.35">
      <c r="A22" t="s">
        <v>288</v>
      </c>
      <c r="B22" t="s">
        <v>316</v>
      </c>
    </row>
    <row r="23" spans="1:2" x14ac:dyDescent="0.35">
      <c r="A23" t="s">
        <v>212</v>
      </c>
      <c r="B23" t="s">
        <v>316</v>
      </c>
    </row>
    <row r="24" spans="1:2" x14ac:dyDescent="0.35">
      <c r="A24" t="s">
        <v>310</v>
      </c>
      <c r="B24" t="s">
        <v>316</v>
      </c>
    </row>
    <row r="25" spans="1:2" x14ac:dyDescent="0.35">
      <c r="A25" t="s">
        <v>40</v>
      </c>
      <c r="B25" t="s">
        <v>315</v>
      </c>
    </row>
    <row r="26" spans="1:2" x14ac:dyDescent="0.35">
      <c r="A26" t="s">
        <v>15</v>
      </c>
      <c r="B26" t="s">
        <v>315</v>
      </c>
    </row>
    <row r="27" spans="1:2" x14ac:dyDescent="0.35">
      <c r="A27" t="s">
        <v>309</v>
      </c>
      <c r="B27" t="s">
        <v>315</v>
      </c>
    </row>
    <row r="28" spans="1:2" x14ac:dyDescent="0.35">
      <c r="A28" t="s">
        <v>295</v>
      </c>
      <c r="B28" t="s">
        <v>316</v>
      </c>
    </row>
    <row r="29" spans="1:2" x14ac:dyDescent="0.35">
      <c r="A29" t="s">
        <v>312</v>
      </c>
      <c r="B29" t="s">
        <v>315</v>
      </c>
    </row>
    <row r="30" spans="1:2" x14ac:dyDescent="0.35">
      <c r="A30" t="s">
        <v>300</v>
      </c>
      <c r="B30" t="s">
        <v>316</v>
      </c>
    </row>
    <row r="31" spans="1:2" x14ac:dyDescent="0.35">
      <c r="A31" t="s">
        <v>126</v>
      </c>
      <c r="B31" t="s">
        <v>316</v>
      </c>
    </row>
    <row r="32" spans="1:2" x14ac:dyDescent="0.35">
      <c r="A32" t="s">
        <v>317</v>
      </c>
      <c r="B32" t="s">
        <v>315</v>
      </c>
    </row>
    <row r="33" spans="1:2" x14ac:dyDescent="0.35">
      <c r="A33" t="s">
        <v>127</v>
      </c>
      <c r="B33" t="s">
        <v>316</v>
      </c>
    </row>
    <row r="34" spans="1:2" x14ac:dyDescent="0.35">
      <c r="A34" t="s">
        <v>297</v>
      </c>
      <c r="B34" t="s">
        <v>316</v>
      </c>
    </row>
    <row r="35" spans="1:2" x14ac:dyDescent="0.35">
      <c r="A35" t="s">
        <v>75</v>
      </c>
      <c r="B35" t="s">
        <v>316</v>
      </c>
    </row>
    <row r="36" spans="1:2" x14ac:dyDescent="0.35">
      <c r="A36" t="s">
        <v>296</v>
      </c>
      <c r="B36" t="s">
        <v>316</v>
      </c>
    </row>
    <row r="37" spans="1:2" x14ac:dyDescent="0.35">
      <c r="A37" t="s">
        <v>65</v>
      </c>
      <c r="B37" t="s">
        <v>316</v>
      </c>
    </row>
    <row r="38" spans="1:2" x14ac:dyDescent="0.35">
      <c r="A38" t="s">
        <v>291</v>
      </c>
      <c r="B38" t="s">
        <v>316</v>
      </c>
    </row>
    <row r="39" spans="1:2" x14ac:dyDescent="0.35">
      <c r="A39" t="s">
        <v>195</v>
      </c>
      <c r="B39" t="s">
        <v>316</v>
      </c>
    </row>
    <row r="40" spans="1:2" x14ac:dyDescent="0.35">
      <c r="A40" t="s">
        <v>311</v>
      </c>
      <c r="B40" t="s">
        <v>316</v>
      </c>
    </row>
    <row r="41" spans="1:2" x14ac:dyDescent="0.35">
      <c r="A41" t="s">
        <v>125</v>
      </c>
      <c r="B41" t="s">
        <v>316</v>
      </c>
    </row>
    <row r="42" spans="1:2" x14ac:dyDescent="0.35">
      <c r="A42" t="s">
        <v>265</v>
      </c>
      <c r="B42" t="s">
        <v>316</v>
      </c>
    </row>
    <row r="43" spans="1:2" x14ac:dyDescent="0.35">
      <c r="A43" t="s">
        <v>197</v>
      </c>
      <c r="B43" t="s">
        <v>316</v>
      </c>
    </row>
    <row r="44" spans="1:2" x14ac:dyDescent="0.35">
      <c r="A44" t="s">
        <v>196</v>
      </c>
      <c r="B44" t="s">
        <v>316</v>
      </c>
    </row>
    <row r="45" spans="1:2" x14ac:dyDescent="0.35">
      <c r="A45" t="s">
        <v>194</v>
      </c>
      <c r="B45" t="s">
        <v>316</v>
      </c>
    </row>
    <row r="46" spans="1:2" x14ac:dyDescent="0.35">
      <c r="A46" t="s">
        <v>198</v>
      </c>
      <c r="B46" t="s">
        <v>316</v>
      </c>
    </row>
    <row r="47" spans="1:2" x14ac:dyDescent="0.35">
      <c r="A47" t="s">
        <v>193</v>
      </c>
      <c r="B47" t="s">
        <v>316</v>
      </c>
    </row>
    <row r="48" spans="1:2" x14ac:dyDescent="0.35">
      <c r="A48" t="s">
        <v>264</v>
      </c>
      <c r="B48" t="s">
        <v>316</v>
      </c>
    </row>
    <row r="49" spans="1:2" x14ac:dyDescent="0.35">
      <c r="A49" t="s">
        <v>266</v>
      </c>
      <c r="B49" t="s">
        <v>316</v>
      </c>
    </row>
    <row r="50" spans="1:2" x14ac:dyDescent="0.35">
      <c r="A50" t="s">
        <v>267</v>
      </c>
      <c r="B50" t="s">
        <v>316</v>
      </c>
    </row>
    <row r="51" spans="1:2" x14ac:dyDescent="0.35">
      <c r="A51" t="s">
        <v>268</v>
      </c>
      <c r="B51" t="s">
        <v>316</v>
      </c>
    </row>
    <row r="52" spans="1:2" x14ac:dyDescent="0.35">
      <c r="A52" t="s">
        <v>263</v>
      </c>
      <c r="B52" t="s">
        <v>316</v>
      </c>
    </row>
    <row r="53" spans="1:2" x14ac:dyDescent="0.35">
      <c r="A53" t="s">
        <v>298</v>
      </c>
      <c r="B53" t="s">
        <v>316</v>
      </c>
    </row>
    <row r="54" spans="1:2" x14ac:dyDescent="0.35">
      <c r="A54" t="s">
        <v>305</v>
      </c>
      <c r="B54" t="s">
        <v>315</v>
      </c>
    </row>
    <row r="55" spans="1:2" x14ac:dyDescent="0.35">
      <c r="A55" t="s">
        <v>294</v>
      </c>
      <c r="B55" t="s">
        <v>316</v>
      </c>
    </row>
    <row r="56" spans="1:2" x14ac:dyDescent="0.35">
      <c r="A56" t="s">
        <v>293</v>
      </c>
      <c r="B56" t="s">
        <v>316</v>
      </c>
    </row>
    <row r="57" spans="1:2" x14ac:dyDescent="0.35">
      <c r="A57" t="s">
        <v>290</v>
      </c>
      <c r="B57" t="s">
        <v>316</v>
      </c>
    </row>
    <row r="58" spans="1:2" x14ac:dyDescent="0.35">
      <c r="A58" t="s">
        <v>306</v>
      </c>
      <c r="B58" t="s">
        <v>315</v>
      </c>
    </row>
  </sheetData>
  <autoFilter ref="A1:B58" xr:uid="{CAB03791-3E21-4336-A63C-8C2530B83C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Sheet12</vt:lpstr>
      <vt:lpstr>NPC SBU</vt:lpstr>
      <vt:lpstr>General SBU</vt:lpstr>
      <vt:lpstr>SBU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2026-09-07T23:29:26Z</dcterms:created>
  <dcterms:modified xsi:type="dcterms:W3CDTF">2026-09-08T08:17:19Z</dcterms:modified>
</cp:coreProperties>
</file>